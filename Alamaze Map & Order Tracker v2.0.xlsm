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1985" yWindow="45" windowWidth="12030" windowHeight="10095" tabRatio="652"/>
  </bookViews>
  <sheets>
    <sheet name="Alamaze Map" sheetId="5" r:id="rId1"/>
    <sheet name="Turns" sheetId="3" r:id="rId2"/>
    <sheet name="Map Data" sheetId="12" state="hidden" r:id="rId3"/>
    <sheet name="Manual Data" sheetId="13" state="hidden" r:id="rId4"/>
    <sheet name="Inf Data" sheetId="7" state="hidden" r:id="rId5"/>
    <sheet name="PC Data" sheetId="6" state="hidden" r:id="rId6"/>
    <sheet name="Em Data" sheetId="8" state="hidden" r:id="rId7"/>
    <sheet name="Gr Data" sheetId="9" state="hidden" r:id="rId8"/>
    <sheet name="Art Data" sheetId="10" state="hidden" r:id="rId9"/>
    <sheet name="RR Data" sheetId="11" state="hidden" r:id="rId10"/>
    <sheet name="Instructions" sheetId="14" r:id="rId11"/>
  </sheets>
  <functionGroups builtInGroupCount="17"/>
  <definedNames>
    <definedName name="_xlnm._FilterDatabase" localSheetId="0" hidden="1">'Alamaze Map'!$A$1:$CB$80</definedName>
    <definedName name="_xlnm._FilterDatabase" localSheetId="6" hidden="1">'Em Data'!$A$1:$G$639</definedName>
    <definedName name="Region1" localSheetId="0">'Alamaze Map'!$B$83:$CA$83</definedName>
    <definedName name="Region1" comment="Oakendell" localSheetId="3">#REF!</definedName>
    <definedName name="Region1" comment="Oakendell">#REF!</definedName>
    <definedName name="Region10" localSheetId="0">'Alamaze Map'!$B$92:$CA$92</definedName>
    <definedName name="Region10" comment="Southern Sands" localSheetId="3">#REF!</definedName>
    <definedName name="Region10" comment="Southern Sands">#REF!</definedName>
    <definedName name="Region2" localSheetId="0">'Alamaze Map'!$B$84:$CA$84</definedName>
    <definedName name="Region2" comment="Northern Mists" localSheetId="3">#REF!</definedName>
    <definedName name="Region2" comment="Northern Mists">#REF!</definedName>
    <definedName name="Region3" localSheetId="0">'Alamaze Map'!$B$85:$CA$85</definedName>
    <definedName name="Region3" comment="Talking Mountains" localSheetId="3">#REF!</definedName>
    <definedName name="Region3" comment="Talking Mountains">#REF!</definedName>
    <definedName name="Region4" localSheetId="0">'Alamaze Map'!$B$86:$BV$86</definedName>
    <definedName name="Region4" comment="Torvale" localSheetId="3">#REF!</definedName>
    <definedName name="Region4" comment="Torvale">#REF!</definedName>
    <definedName name="Region5" localSheetId="0">'Alamaze Map'!$B$87:$CA$87</definedName>
    <definedName name="Region5" comment="Amberland" localSheetId="3">#REF!</definedName>
    <definedName name="Region5" comment="Amberland">#REF!</definedName>
    <definedName name="Region6" localSheetId="0">'Alamaze Map'!$B$88:$CA$88</definedName>
    <definedName name="Region6" comment="Eastern Steppes" localSheetId="3">#REF!</definedName>
    <definedName name="Region6" comment="Eastern Steppes">#REF!</definedName>
    <definedName name="Region7" localSheetId="0">'Alamaze Map'!$B$89:$CA$89</definedName>
    <definedName name="Region7" comment="Runnimede" localSheetId="3">#REF!</definedName>
    <definedName name="Region7" comment="Runnimede">#REF!</definedName>
    <definedName name="Region8" localSheetId="0">'Alamaze Map'!$B$90:$CA$90</definedName>
    <definedName name="Region8" comment="Arcania" localSheetId="3">#REF!</definedName>
    <definedName name="Region8" comment="Arcania">#REF!</definedName>
    <definedName name="Region9" localSheetId="0">'Alamaze Map'!$B$91:$CA$91</definedName>
    <definedName name="Region9" comment="Synisvania" localSheetId="3">#REF!</definedName>
    <definedName name="Region9" comment="Synisvania">#REF!</definedName>
  </definedNames>
  <calcPr calcId="145621"/>
</workbook>
</file>

<file path=xl/calcChain.xml><?xml version="1.0" encoding="utf-8"?>
<calcChain xmlns="http://schemas.openxmlformats.org/spreadsheetml/2006/main">
  <c r="CG55" i="5" l="1"/>
  <c r="CG53" i="5"/>
  <c r="BP92" i="5" l="1"/>
  <c r="BO92" i="5"/>
  <c r="BN92" i="5"/>
  <c r="BM92" i="5"/>
  <c r="BL92" i="5"/>
  <c r="BK92" i="5"/>
  <c r="BJ92" i="5"/>
  <c r="BI92" i="5"/>
  <c r="BH92" i="5"/>
  <c r="BG92" i="5"/>
  <c r="BF92" i="5"/>
  <c r="BE92" i="5"/>
  <c r="BD92" i="5"/>
  <c r="BC92" i="5"/>
  <c r="BB92" i="5"/>
  <c r="BA92" i="5"/>
  <c r="AZ92" i="5"/>
  <c r="AY92" i="5"/>
  <c r="AX92" i="5"/>
  <c r="AW92" i="5"/>
  <c r="AV92" i="5"/>
  <c r="AU92" i="5"/>
  <c r="AT92" i="5"/>
  <c r="AS92" i="5"/>
  <c r="AR92" i="5"/>
  <c r="AQ92" i="5"/>
  <c r="AP92" i="5"/>
  <c r="AO92" i="5"/>
  <c r="AN92" i="5"/>
  <c r="AM92" i="5"/>
  <c r="AL92" i="5"/>
  <c r="AK92" i="5"/>
  <c r="AJ92" i="5"/>
  <c r="AI92" i="5"/>
  <c r="AH92" i="5"/>
  <c r="AG92" i="5"/>
  <c r="AF92" i="5"/>
  <c r="AE92" i="5"/>
  <c r="AD92" i="5"/>
  <c r="AC92" i="5"/>
  <c r="AB92" i="5"/>
  <c r="AA92" i="5"/>
  <c r="Z92" i="5"/>
  <c r="Y92" i="5"/>
  <c r="X92" i="5"/>
  <c r="W92" i="5"/>
  <c r="V92" i="5"/>
  <c r="U92" i="5"/>
  <c r="T92" i="5"/>
  <c r="S92" i="5"/>
  <c r="R92" i="5"/>
  <c r="Q92" i="5"/>
  <c r="P92" i="5"/>
  <c r="O92" i="5"/>
  <c r="N92" i="5"/>
  <c r="M92" i="5"/>
  <c r="L92" i="5"/>
  <c r="K92" i="5"/>
  <c r="J92" i="5"/>
  <c r="I92" i="5"/>
  <c r="H92" i="5"/>
  <c r="G92" i="5"/>
  <c r="F92" i="5"/>
  <c r="E92" i="5"/>
  <c r="D92" i="5"/>
  <c r="C92" i="5"/>
  <c r="B92" i="5"/>
  <c r="BM91" i="5"/>
  <c r="BL91" i="5"/>
  <c r="BK91" i="5"/>
  <c r="BJ91" i="5"/>
  <c r="BI91" i="5"/>
  <c r="BH91" i="5"/>
  <c r="BG91" i="5"/>
  <c r="BF91" i="5"/>
  <c r="BE91" i="5"/>
  <c r="BD91" i="5"/>
  <c r="BC91" i="5"/>
  <c r="BB91" i="5"/>
  <c r="BA91" i="5"/>
  <c r="AZ91" i="5"/>
  <c r="AY91" i="5"/>
  <c r="AX91" i="5"/>
  <c r="AW91" i="5"/>
  <c r="AV91" i="5"/>
  <c r="AU91" i="5"/>
  <c r="AT91" i="5"/>
  <c r="AS91" i="5"/>
  <c r="AR91" i="5"/>
  <c r="AQ91" i="5"/>
  <c r="AP91" i="5"/>
  <c r="AO91" i="5"/>
  <c r="AN91" i="5"/>
  <c r="AM91" i="5"/>
  <c r="AL91" i="5"/>
  <c r="AK91" i="5"/>
  <c r="AJ91" i="5"/>
  <c r="AI91" i="5"/>
  <c r="AH91" i="5"/>
  <c r="AG91" i="5"/>
  <c r="AF91" i="5"/>
  <c r="AE91" i="5"/>
  <c r="AD91" i="5"/>
  <c r="AC91" i="5"/>
  <c r="AB91" i="5"/>
  <c r="AA91" i="5"/>
  <c r="Z91" i="5"/>
  <c r="Y91" i="5"/>
  <c r="X91" i="5"/>
  <c r="W91" i="5"/>
  <c r="V91" i="5"/>
  <c r="U91" i="5"/>
  <c r="T91" i="5"/>
  <c r="S91" i="5"/>
  <c r="R91" i="5"/>
  <c r="Q91" i="5"/>
  <c r="P91" i="5"/>
  <c r="O91" i="5"/>
  <c r="N91" i="5"/>
  <c r="M91" i="5"/>
  <c r="L91" i="5"/>
  <c r="K91" i="5"/>
  <c r="J91" i="5"/>
  <c r="I91" i="5"/>
  <c r="H91" i="5"/>
  <c r="G91" i="5"/>
  <c r="F91" i="5"/>
  <c r="E91" i="5"/>
  <c r="D91" i="5"/>
  <c r="C91" i="5"/>
  <c r="B91" i="5"/>
  <c r="CA90" i="5"/>
  <c r="BZ90" i="5"/>
  <c r="BY90" i="5"/>
  <c r="BX90" i="5"/>
  <c r="BW90" i="5"/>
  <c r="BV90" i="5"/>
  <c r="BU90" i="5"/>
  <c r="BT90" i="5"/>
  <c r="BS90" i="5"/>
  <c r="BR90" i="5"/>
  <c r="BQ90" i="5"/>
  <c r="BP90" i="5"/>
  <c r="BO90" i="5"/>
  <c r="BN90" i="5"/>
  <c r="BM90" i="5"/>
  <c r="BL90" i="5"/>
  <c r="BK90" i="5"/>
  <c r="BJ90" i="5"/>
  <c r="BI90" i="5"/>
  <c r="BH90" i="5"/>
  <c r="BG90" i="5"/>
  <c r="BF90" i="5"/>
  <c r="BE90" i="5"/>
  <c r="BD90" i="5"/>
  <c r="BC90" i="5"/>
  <c r="BB90" i="5"/>
  <c r="BA90" i="5"/>
  <c r="AZ90" i="5"/>
  <c r="AY90" i="5"/>
  <c r="AX90" i="5"/>
  <c r="AW90" i="5"/>
  <c r="AV90" i="5"/>
  <c r="AU90" i="5"/>
  <c r="AT90" i="5"/>
  <c r="AS90" i="5"/>
  <c r="AR90" i="5"/>
  <c r="AQ90" i="5"/>
  <c r="AP90" i="5"/>
  <c r="AO90" i="5"/>
  <c r="AN90" i="5"/>
  <c r="AM90" i="5"/>
  <c r="AL90" i="5"/>
  <c r="AK90" i="5"/>
  <c r="AJ90" i="5"/>
  <c r="AI90" i="5"/>
  <c r="AH90" i="5"/>
  <c r="AG90" i="5"/>
  <c r="AF90" i="5"/>
  <c r="AE90" i="5"/>
  <c r="AD90" i="5"/>
  <c r="AC90" i="5"/>
  <c r="AB90" i="5"/>
  <c r="AA90" i="5"/>
  <c r="Z90" i="5"/>
  <c r="Y90" i="5"/>
  <c r="X90" i="5"/>
  <c r="W90" i="5"/>
  <c r="V90" i="5"/>
  <c r="U90" i="5"/>
  <c r="T90" i="5"/>
  <c r="S90" i="5"/>
  <c r="R90" i="5"/>
  <c r="Q90" i="5"/>
  <c r="P90" i="5"/>
  <c r="O90" i="5"/>
  <c r="N90" i="5"/>
  <c r="M90" i="5"/>
  <c r="L90" i="5"/>
  <c r="K90" i="5"/>
  <c r="J90" i="5"/>
  <c r="I90" i="5"/>
  <c r="H90" i="5"/>
  <c r="G90" i="5"/>
  <c r="F90" i="5"/>
  <c r="E90" i="5"/>
  <c r="D90" i="5"/>
  <c r="C90" i="5"/>
  <c r="B90" i="5"/>
  <c r="BQ89" i="5"/>
  <c r="BP89" i="5"/>
  <c r="BO89" i="5"/>
  <c r="BN89" i="5"/>
  <c r="BM89" i="5"/>
  <c r="BL89" i="5"/>
  <c r="BK89" i="5"/>
  <c r="BJ89" i="5"/>
  <c r="BI89" i="5"/>
  <c r="BH89" i="5"/>
  <c r="BG89" i="5"/>
  <c r="BF89" i="5"/>
  <c r="BE89" i="5"/>
  <c r="BD89" i="5"/>
  <c r="BC89" i="5"/>
  <c r="BB89" i="5"/>
  <c r="BA89" i="5"/>
  <c r="AZ89" i="5"/>
  <c r="AY89" i="5"/>
  <c r="AX89" i="5"/>
  <c r="AW89" i="5"/>
  <c r="AV89" i="5"/>
  <c r="AU89" i="5"/>
  <c r="AT89" i="5"/>
  <c r="AS89" i="5"/>
  <c r="AR89" i="5"/>
  <c r="AQ89" i="5"/>
  <c r="AP89" i="5"/>
  <c r="AO89" i="5"/>
  <c r="AN89" i="5"/>
  <c r="AM89" i="5"/>
  <c r="AL89" i="5"/>
  <c r="AK89" i="5"/>
  <c r="AJ89" i="5"/>
  <c r="AI89" i="5"/>
  <c r="AH89" i="5"/>
  <c r="AG89" i="5"/>
  <c r="AF89" i="5"/>
  <c r="AE89" i="5"/>
  <c r="AD89" i="5"/>
  <c r="AC89" i="5"/>
  <c r="AB89" i="5"/>
  <c r="AA89" i="5"/>
  <c r="Z89" i="5"/>
  <c r="Y89" i="5"/>
  <c r="X89" i="5"/>
  <c r="W89" i="5"/>
  <c r="V89" i="5"/>
  <c r="U89" i="5"/>
  <c r="T89" i="5"/>
  <c r="S89" i="5"/>
  <c r="R89" i="5"/>
  <c r="Q89" i="5"/>
  <c r="P89" i="5"/>
  <c r="O89" i="5"/>
  <c r="N89" i="5"/>
  <c r="M89" i="5"/>
  <c r="L89" i="5"/>
  <c r="K89" i="5"/>
  <c r="J89" i="5"/>
  <c r="I89" i="5"/>
  <c r="H89" i="5"/>
  <c r="G89" i="5"/>
  <c r="F89" i="5"/>
  <c r="E89" i="5"/>
  <c r="D89" i="5"/>
  <c r="C89" i="5"/>
  <c r="B89" i="5"/>
  <c r="BM88" i="5"/>
  <c r="BL88" i="5"/>
  <c r="BK88" i="5"/>
  <c r="BJ88" i="5"/>
  <c r="BI88" i="5"/>
  <c r="BH88" i="5"/>
  <c r="BG88" i="5"/>
  <c r="BF88" i="5"/>
  <c r="BE88" i="5"/>
  <c r="BD88" i="5"/>
  <c r="BC88" i="5"/>
  <c r="BB88" i="5"/>
  <c r="BA88" i="5"/>
  <c r="AZ88" i="5"/>
  <c r="AY88" i="5"/>
  <c r="AX88" i="5"/>
  <c r="AW88" i="5"/>
  <c r="AV88" i="5"/>
  <c r="AU88" i="5"/>
  <c r="AT88" i="5"/>
  <c r="AS88" i="5"/>
  <c r="AR88" i="5"/>
  <c r="AQ88" i="5"/>
  <c r="AP88" i="5"/>
  <c r="AO88" i="5"/>
  <c r="AN88" i="5"/>
  <c r="AM88" i="5"/>
  <c r="AL88" i="5"/>
  <c r="AK88" i="5"/>
  <c r="AJ88" i="5"/>
  <c r="AI88" i="5"/>
  <c r="AH88" i="5"/>
  <c r="AG88" i="5"/>
  <c r="AF88" i="5"/>
  <c r="AE88" i="5"/>
  <c r="AD88" i="5"/>
  <c r="AC88" i="5"/>
  <c r="AB88" i="5"/>
  <c r="AA88" i="5"/>
  <c r="Z88" i="5"/>
  <c r="Y88" i="5"/>
  <c r="X88" i="5"/>
  <c r="W88" i="5"/>
  <c r="V88" i="5"/>
  <c r="U88" i="5"/>
  <c r="T88" i="5"/>
  <c r="S88" i="5"/>
  <c r="R88" i="5"/>
  <c r="Q88" i="5"/>
  <c r="P88" i="5"/>
  <c r="O88" i="5"/>
  <c r="N88" i="5"/>
  <c r="M88" i="5"/>
  <c r="L88" i="5"/>
  <c r="K88" i="5"/>
  <c r="J88" i="5"/>
  <c r="I88" i="5"/>
  <c r="H88" i="5"/>
  <c r="G88" i="5"/>
  <c r="F88" i="5"/>
  <c r="E88" i="5"/>
  <c r="D88" i="5"/>
  <c r="C88" i="5"/>
  <c r="B88" i="5"/>
  <c r="BQ87" i="5"/>
  <c r="BP87" i="5"/>
  <c r="BO87" i="5"/>
  <c r="BN87" i="5"/>
  <c r="BM87" i="5"/>
  <c r="BL87" i="5"/>
  <c r="BK87" i="5"/>
  <c r="BJ87" i="5"/>
  <c r="BI87" i="5"/>
  <c r="BH87" i="5"/>
  <c r="BG87" i="5"/>
  <c r="BF87" i="5"/>
  <c r="BE87" i="5"/>
  <c r="BD87" i="5"/>
  <c r="BC87" i="5"/>
  <c r="BB87" i="5"/>
  <c r="BA87" i="5"/>
  <c r="AZ87" i="5"/>
  <c r="AY87" i="5"/>
  <c r="AX87" i="5"/>
  <c r="AW87" i="5"/>
  <c r="AV87" i="5"/>
  <c r="AU87" i="5"/>
  <c r="AT87" i="5"/>
  <c r="AS87" i="5"/>
  <c r="AR87" i="5"/>
  <c r="AQ87" i="5"/>
  <c r="AP87" i="5"/>
  <c r="AO87" i="5"/>
  <c r="AN87" i="5"/>
  <c r="AM87" i="5"/>
  <c r="AL87" i="5"/>
  <c r="AK87" i="5"/>
  <c r="AJ87" i="5"/>
  <c r="AI87" i="5"/>
  <c r="AH87" i="5"/>
  <c r="AG87" i="5"/>
  <c r="AF87" i="5"/>
  <c r="AE87" i="5"/>
  <c r="AD87" i="5"/>
  <c r="AC87" i="5"/>
  <c r="AB87" i="5"/>
  <c r="AA87" i="5"/>
  <c r="Z87" i="5"/>
  <c r="Y87" i="5"/>
  <c r="X87" i="5"/>
  <c r="W87" i="5"/>
  <c r="V87" i="5"/>
  <c r="U87" i="5"/>
  <c r="T87" i="5"/>
  <c r="S87" i="5"/>
  <c r="R87" i="5"/>
  <c r="Q87" i="5"/>
  <c r="P87" i="5"/>
  <c r="O87" i="5"/>
  <c r="N87" i="5"/>
  <c r="M87" i="5"/>
  <c r="L87" i="5"/>
  <c r="K87" i="5"/>
  <c r="J87" i="5"/>
  <c r="I87" i="5"/>
  <c r="H87" i="5"/>
  <c r="G87" i="5"/>
  <c r="F87" i="5"/>
  <c r="E87" i="5"/>
  <c r="D87" i="5"/>
  <c r="C87" i="5"/>
  <c r="B87" i="5"/>
  <c r="BW86" i="5"/>
  <c r="BV86" i="5"/>
  <c r="BU86" i="5"/>
  <c r="BT86" i="5"/>
  <c r="BS86" i="5"/>
  <c r="BR86" i="5"/>
  <c r="BQ86" i="5"/>
  <c r="BP86" i="5"/>
  <c r="BO86" i="5"/>
  <c r="BN86" i="5"/>
  <c r="BM86" i="5"/>
  <c r="BL86" i="5"/>
  <c r="BK86" i="5"/>
  <c r="BJ86" i="5"/>
  <c r="BI86" i="5"/>
  <c r="BH86" i="5"/>
  <c r="BG86" i="5"/>
  <c r="BF86" i="5"/>
  <c r="BE86" i="5"/>
  <c r="BD86" i="5"/>
  <c r="BC86" i="5"/>
  <c r="BB86" i="5"/>
  <c r="BA86" i="5"/>
  <c r="AZ86" i="5"/>
  <c r="AY86" i="5"/>
  <c r="AX86" i="5"/>
  <c r="AW86" i="5"/>
  <c r="AV86" i="5"/>
  <c r="AU86" i="5"/>
  <c r="AT86" i="5"/>
  <c r="AS86" i="5"/>
  <c r="AR86" i="5"/>
  <c r="AQ86" i="5"/>
  <c r="AP86" i="5"/>
  <c r="AO86" i="5"/>
  <c r="AN86" i="5"/>
  <c r="AM86" i="5"/>
  <c r="AL86" i="5"/>
  <c r="AK86" i="5"/>
  <c r="AJ86" i="5"/>
  <c r="AI86" i="5"/>
  <c r="AH86" i="5"/>
  <c r="AG86" i="5"/>
  <c r="AF86" i="5"/>
  <c r="AE86" i="5"/>
  <c r="AD86" i="5"/>
  <c r="AC86" i="5"/>
  <c r="AB86" i="5"/>
  <c r="AA86" i="5"/>
  <c r="Z86" i="5"/>
  <c r="Y86" i="5"/>
  <c r="X86" i="5"/>
  <c r="W86" i="5"/>
  <c r="V86" i="5"/>
  <c r="U86" i="5"/>
  <c r="T86" i="5"/>
  <c r="S86" i="5"/>
  <c r="R86" i="5"/>
  <c r="Q86" i="5"/>
  <c r="P86" i="5"/>
  <c r="O86" i="5"/>
  <c r="N86" i="5"/>
  <c r="M86" i="5"/>
  <c r="L86" i="5"/>
  <c r="K86" i="5"/>
  <c r="J86" i="5"/>
  <c r="I86" i="5"/>
  <c r="H86" i="5"/>
  <c r="G86" i="5"/>
  <c r="F86" i="5"/>
  <c r="E86" i="5"/>
  <c r="D86" i="5"/>
  <c r="C86" i="5"/>
  <c r="B86" i="5"/>
  <c r="BI85" i="5"/>
  <c r="BH85" i="5"/>
  <c r="BG85" i="5"/>
  <c r="BF85" i="5"/>
  <c r="BE85" i="5"/>
  <c r="BD85" i="5"/>
  <c r="BC85" i="5"/>
  <c r="BB85" i="5"/>
  <c r="BA85" i="5"/>
  <c r="AZ85" i="5"/>
  <c r="AY85" i="5"/>
  <c r="AX85" i="5"/>
  <c r="AW85" i="5"/>
  <c r="AV85" i="5"/>
  <c r="AU85" i="5"/>
  <c r="AT85" i="5"/>
  <c r="AS85" i="5"/>
  <c r="AR85" i="5"/>
  <c r="AQ85" i="5"/>
  <c r="AP85" i="5"/>
  <c r="AO85" i="5"/>
  <c r="AN85" i="5"/>
  <c r="AM85" i="5"/>
  <c r="AL85" i="5"/>
  <c r="AK85" i="5"/>
  <c r="AJ85" i="5"/>
  <c r="AI85" i="5"/>
  <c r="AH85" i="5"/>
  <c r="AG85" i="5"/>
  <c r="AF85" i="5"/>
  <c r="AE85" i="5"/>
  <c r="AD85" i="5"/>
  <c r="AC85" i="5"/>
  <c r="AB85" i="5"/>
  <c r="AA85" i="5"/>
  <c r="Z85" i="5"/>
  <c r="Y85" i="5"/>
  <c r="X85" i="5"/>
  <c r="W85" i="5"/>
  <c r="V85" i="5"/>
  <c r="U85" i="5"/>
  <c r="T85" i="5"/>
  <c r="S85" i="5"/>
  <c r="R85" i="5"/>
  <c r="Q85" i="5"/>
  <c r="P85" i="5"/>
  <c r="O85" i="5"/>
  <c r="N85" i="5"/>
  <c r="M85" i="5"/>
  <c r="L85" i="5"/>
  <c r="K85" i="5"/>
  <c r="J85" i="5"/>
  <c r="I85" i="5"/>
  <c r="H85" i="5"/>
  <c r="G85" i="5"/>
  <c r="F85" i="5"/>
  <c r="E85" i="5"/>
  <c r="D85" i="5"/>
  <c r="C85" i="5"/>
  <c r="B85" i="5"/>
  <c r="BP84" i="5"/>
  <c r="BO84" i="5"/>
  <c r="BN84" i="5"/>
  <c r="BM84" i="5"/>
  <c r="BL84" i="5"/>
  <c r="BK84" i="5"/>
  <c r="BJ84" i="5"/>
  <c r="BI84" i="5"/>
  <c r="BH84" i="5"/>
  <c r="BG84" i="5"/>
  <c r="BF84" i="5"/>
  <c r="BE84" i="5"/>
  <c r="BD84" i="5"/>
  <c r="BC84" i="5"/>
  <c r="BB84" i="5"/>
  <c r="BA84" i="5"/>
  <c r="AZ84" i="5"/>
  <c r="AY84" i="5"/>
  <c r="AX84" i="5"/>
  <c r="AW84" i="5"/>
  <c r="AV84" i="5"/>
  <c r="AU84" i="5"/>
  <c r="AT84" i="5"/>
  <c r="AS84" i="5"/>
  <c r="AR84" i="5"/>
  <c r="AQ84" i="5"/>
  <c r="AP84" i="5"/>
  <c r="AO84" i="5"/>
  <c r="AN84" i="5"/>
  <c r="AM84" i="5"/>
  <c r="AL84" i="5"/>
  <c r="AK84" i="5"/>
  <c r="AJ84" i="5"/>
  <c r="AI84" i="5"/>
  <c r="AH84" i="5"/>
  <c r="AG84" i="5"/>
  <c r="AF84" i="5"/>
  <c r="AE84" i="5"/>
  <c r="AD84" i="5"/>
  <c r="AC84" i="5"/>
  <c r="AB84" i="5"/>
  <c r="AA84" i="5"/>
  <c r="Z84" i="5"/>
  <c r="Y84" i="5"/>
  <c r="X84" i="5"/>
  <c r="W84" i="5"/>
  <c r="V84" i="5"/>
  <c r="U84" i="5"/>
  <c r="T84" i="5"/>
  <c r="S84" i="5"/>
  <c r="R84" i="5"/>
  <c r="Q84" i="5"/>
  <c r="P84" i="5"/>
  <c r="O84" i="5"/>
  <c r="N84" i="5"/>
  <c r="M84" i="5"/>
  <c r="L84" i="5"/>
  <c r="K84" i="5"/>
  <c r="J84" i="5"/>
  <c r="I84" i="5"/>
  <c r="H84" i="5"/>
  <c r="G84" i="5"/>
  <c r="F84" i="5"/>
  <c r="E84" i="5"/>
  <c r="D84" i="5"/>
  <c r="C84" i="5"/>
  <c r="B84" i="5"/>
  <c r="BO83" i="5"/>
  <c r="BN83" i="5"/>
  <c r="BM83" i="5"/>
  <c r="BL83" i="5"/>
  <c r="BK83" i="5"/>
  <c r="BJ83" i="5"/>
  <c r="BI83" i="5"/>
  <c r="BH83" i="5"/>
  <c r="BG83" i="5"/>
  <c r="BF83" i="5"/>
  <c r="BE83" i="5"/>
  <c r="BD83" i="5"/>
  <c r="BC83" i="5"/>
  <c r="BB83" i="5"/>
  <c r="BA83" i="5"/>
  <c r="AZ83" i="5"/>
  <c r="AY83" i="5"/>
  <c r="AX83" i="5"/>
  <c r="AW83" i="5"/>
  <c r="AV83" i="5"/>
  <c r="AU83" i="5"/>
  <c r="AT83" i="5"/>
  <c r="AS83" i="5"/>
  <c r="AR83" i="5"/>
  <c r="AQ83" i="5"/>
  <c r="AP83" i="5"/>
  <c r="AO83" i="5"/>
  <c r="AN83" i="5"/>
  <c r="AM83" i="5"/>
  <c r="AL83" i="5"/>
  <c r="AK83" i="5"/>
  <c r="AJ83" i="5"/>
  <c r="AI83" i="5"/>
  <c r="AH83" i="5"/>
  <c r="AG83" i="5"/>
  <c r="AF83" i="5"/>
  <c r="AE83" i="5"/>
  <c r="AD83" i="5"/>
  <c r="AC83" i="5"/>
  <c r="AB83" i="5"/>
  <c r="AA83" i="5"/>
  <c r="Z83" i="5"/>
  <c r="Y83" i="5"/>
  <c r="X83" i="5"/>
  <c r="W83" i="5"/>
  <c r="V83" i="5"/>
  <c r="U83" i="5"/>
  <c r="T83" i="5"/>
  <c r="S83" i="5"/>
  <c r="R83" i="5"/>
  <c r="Q83" i="5"/>
  <c r="P83" i="5"/>
  <c r="O83" i="5"/>
  <c r="N83" i="5"/>
  <c r="M83" i="5"/>
  <c r="L83" i="5"/>
  <c r="K83" i="5"/>
  <c r="J83" i="5"/>
  <c r="I83" i="5"/>
  <c r="H83" i="5"/>
  <c r="G83" i="5"/>
  <c r="F83" i="5"/>
  <c r="E83" i="5"/>
  <c r="D83" i="5"/>
  <c r="C83" i="5"/>
  <c r="B83" i="5"/>
  <c r="CQ43" i="5"/>
  <c r="CJ43" i="5"/>
  <c r="CQ33" i="5"/>
  <c r="CJ33" i="5"/>
  <c r="CQ23" i="5"/>
  <c r="CJ23" i="5"/>
  <c r="CQ13" i="5"/>
  <c r="CJ13" i="5"/>
  <c r="CQ3" i="5"/>
  <c r="CJ3" i="5"/>
  <c r="CH70" i="5" l="1"/>
  <c r="CM42" i="5"/>
  <c r="CO27" i="5"/>
  <c r="CO26" i="5" s="1"/>
  <c r="CH7" i="5"/>
  <c r="CH6" i="5" s="1"/>
  <c r="CN28" i="5"/>
  <c r="CM32" i="5"/>
  <c r="CP5" i="5"/>
  <c r="CP15" i="5"/>
  <c r="CI67" i="5"/>
  <c r="CN38" i="5"/>
  <c r="CO45" i="5"/>
  <c r="CO15" i="5"/>
  <c r="CO47" i="5"/>
  <c r="CO46" i="5" s="1"/>
  <c r="CH17" i="5"/>
  <c r="CH16" i="5" s="1"/>
  <c r="CG76" i="5"/>
  <c r="CN18" i="5"/>
  <c r="CO35" i="5"/>
  <c r="CN8" i="5"/>
  <c r="CO37" i="5"/>
  <c r="CO36" i="5" s="1"/>
  <c r="CH66" i="5"/>
  <c r="CO17" i="5"/>
  <c r="CO16" i="5" s="1"/>
  <c r="CO7" i="5"/>
  <c r="CO6" i="5" s="1"/>
  <c r="CN48" i="5"/>
  <c r="CH15" i="5"/>
  <c r="CO5" i="5"/>
  <c r="CP7" i="5"/>
  <c r="CP6" i="5" s="1"/>
  <c r="CP17" i="5"/>
  <c r="CP16" i="5" s="1"/>
  <c r="CH74" i="5"/>
  <c r="CG72" i="5"/>
  <c r="CH76" i="5"/>
  <c r="CG65" i="5"/>
  <c r="CI68" i="5"/>
  <c r="CH72" i="5"/>
  <c r="CH78" i="5"/>
  <c r="CO25" i="5"/>
  <c r="CG66" i="5"/>
  <c r="CG69" i="5"/>
  <c r="CG8" i="5"/>
  <c r="CG7" i="5"/>
  <c r="CG5" i="5"/>
  <c r="CF2" i="5"/>
  <c r="CI79" i="5"/>
  <c r="CI78" i="5"/>
  <c r="CI77" i="5"/>
  <c r="CI76" i="5"/>
  <c r="CI75" i="5"/>
  <c r="CI74" i="5"/>
  <c r="CI73" i="5"/>
  <c r="CI72" i="5"/>
  <c r="CI71" i="5"/>
  <c r="CI70" i="5"/>
  <c r="CH79" i="5"/>
  <c r="CH77" i="5"/>
  <c r="CH75" i="5"/>
  <c r="CH73" i="5"/>
  <c r="CH71" i="5"/>
  <c r="CI69" i="5"/>
  <c r="CH68" i="5"/>
  <c r="CG67" i="5"/>
  <c r="CI65" i="5"/>
  <c r="CI7" i="5"/>
  <c r="CI6" i="5" s="1"/>
  <c r="CI5" i="5"/>
  <c r="CG79" i="5"/>
  <c r="CG77" i="5"/>
  <c r="CG75" i="5"/>
  <c r="CG73" i="5"/>
  <c r="CG71" i="5"/>
  <c r="CH69" i="5"/>
  <c r="CG68" i="5"/>
  <c r="CI66" i="5"/>
  <c r="CH65" i="5"/>
  <c r="CG28" i="5"/>
  <c r="CG27" i="5"/>
  <c r="CG25" i="5"/>
  <c r="CF22" i="5"/>
  <c r="CI27" i="5"/>
  <c r="CI26" i="5" s="1"/>
  <c r="CI25" i="5"/>
  <c r="CH27" i="5"/>
  <c r="CH26" i="5" s="1"/>
  <c r="CH25" i="5"/>
  <c r="CG38" i="5"/>
  <c r="CG37" i="5"/>
  <c r="CG35" i="5"/>
  <c r="CF32" i="5"/>
  <c r="CI37" i="5"/>
  <c r="CI36" i="5" s="1"/>
  <c r="CI35" i="5"/>
  <c r="CH37" i="5"/>
  <c r="CH36" i="5" s="1"/>
  <c r="CH35" i="5"/>
  <c r="CI47" i="5"/>
  <c r="CI46" i="5" s="1"/>
  <c r="CI45" i="5"/>
  <c r="CH47" i="5"/>
  <c r="CH46" i="5" s="1"/>
  <c r="CH45" i="5"/>
  <c r="CP27" i="5"/>
  <c r="CP26" i="5" s="1"/>
  <c r="CP25" i="5"/>
  <c r="CN37" i="5"/>
  <c r="CN35" i="5"/>
  <c r="CP37" i="5"/>
  <c r="CP36" i="5" s="1"/>
  <c r="CP35" i="5"/>
  <c r="CN47" i="5"/>
  <c r="CN45" i="5"/>
  <c r="CP47" i="5"/>
  <c r="CP46" i="5" s="1"/>
  <c r="CP45" i="5"/>
  <c r="CM2" i="5"/>
  <c r="CH5" i="5"/>
  <c r="CM12" i="5"/>
  <c r="CM22" i="5"/>
  <c r="CH67" i="5"/>
  <c r="CG70" i="5"/>
  <c r="CG74" i="5"/>
  <c r="CG78" i="5"/>
  <c r="CG18" i="5"/>
  <c r="CG17" i="5"/>
  <c r="CG15" i="5"/>
  <c r="CF12" i="5"/>
  <c r="CI15" i="5"/>
  <c r="CI17" i="5"/>
  <c r="CI16" i="5" s="1"/>
  <c r="CG48" i="5"/>
  <c r="CN7" i="5"/>
  <c r="CN17" i="5"/>
  <c r="CN27" i="5"/>
  <c r="CN5" i="5"/>
  <c r="CN15" i="5"/>
  <c r="CN25" i="5"/>
  <c r="CF42" i="5"/>
  <c r="CG45" i="5"/>
  <c r="CG47" i="5"/>
  <c r="BT41" i="3"/>
  <c r="BQ41" i="3"/>
  <c r="BS41" i="3" s="1"/>
  <c r="BT40" i="3"/>
  <c r="BS40" i="3"/>
  <c r="BQ40" i="3"/>
  <c r="BQ39" i="3"/>
  <c r="BT39" i="3" s="1"/>
  <c r="BP41" i="3"/>
  <c r="BO41" i="3"/>
  <c r="BM41" i="3"/>
  <c r="BM40" i="3"/>
  <c r="BP40" i="3" s="1"/>
  <c r="BM39" i="3"/>
  <c r="BP39" i="3" s="1"/>
  <c r="BL41" i="3"/>
  <c r="BK41" i="3"/>
  <c r="BI41" i="3"/>
  <c r="BI40" i="3"/>
  <c r="BL40" i="3" s="1"/>
  <c r="BI39" i="3"/>
  <c r="BL39" i="3" s="1"/>
  <c r="BH41" i="3"/>
  <c r="BE41" i="3"/>
  <c r="BG41" i="3" s="1"/>
  <c r="BH40" i="3"/>
  <c r="BG40" i="3"/>
  <c r="BE40" i="3"/>
  <c r="BE39" i="3"/>
  <c r="BH39" i="3" s="1"/>
  <c r="BD41" i="3"/>
  <c r="BC41" i="3"/>
  <c r="BA41" i="3"/>
  <c r="BA40" i="3"/>
  <c r="BD40" i="3" s="1"/>
  <c r="BA39" i="3"/>
  <c r="BD39" i="3" s="1"/>
  <c r="AZ41" i="3"/>
  <c r="AY41" i="3"/>
  <c r="AW41" i="3"/>
  <c r="AW40" i="3"/>
  <c r="AZ40" i="3" s="1"/>
  <c r="AW39" i="3"/>
  <c r="AZ39" i="3" s="1"/>
  <c r="AV41" i="3"/>
  <c r="AU41" i="3"/>
  <c r="AS41" i="3"/>
  <c r="AS40" i="3"/>
  <c r="AU40" i="3" s="1"/>
  <c r="AS39" i="3"/>
  <c r="AV39" i="3" s="1"/>
  <c r="AR41" i="3"/>
  <c r="AQ41" i="3"/>
  <c r="AO41" i="3"/>
  <c r="AO40" i="3"/>
  <c r="AR40" i="3" s="1"/>
  <c r="AO39" i="3"/>
  <c r="AR39" i="3" s="1"/>
  <c r="AN41" i="3"/>
  <c r="AM41" i="3"/>
  <c r="AK41" i="3"/>
  <c r="AK40" i="3"/>
  <c r="AM40" i="3" s="1"/>
  <c r="AK39" i="3"/>
  <c r="AN39" i="3" s="1"/>
  <c r="AJ41" i="3"/>
  <c r="AI41" i="3"/>
  <c r="AG41" i="3"/>
  <c r="AG40" i="3"/>
  <c r="AI40" i="3" s="1"/>
  <c r="AG39" i="3"/>
  <c r="AJ39" i="3" s="1"/>
  <c r="AF41" i="3"/>
  <c r="AC41" i="3"/>
  <c r="AE41" i="3" s="1"/>
  <c r="AF40" i="3"/>
  <c r="AE40" i="3"/>
  <c r="AC40" i="3"/>
  <c r="AC39" i="3"/>
  <c r="AF39" i="3" s="1"/>
  <c r="AB41" i="3"/>
  <c r="AA41" i="3"/>
  <c r="Y41" i="3"/>
  <c r="Y40" i="3"/>
  <c r="AA40" i="3" s="1"/>
  <c r="Y39" i="3"/>
  <c r="AB39" i="3" s="1"/>
  <c r="U41" i="3"/>
  <c r="X41" i="3" s="1"/>
  <c r="X40" i="3"/>
  <c r="U40" i="3"/>
  <c r="W40" i="3" s="1"/>
  <c r="X39" i="3"/>
  <c r="W39" i="3"/>
  <c r="U39" i="3"/>
  <c r="T41" i="3"/>
  <c r="S41" i="3"/>
  <c r="Q41" i="3"/>
  <c r="Q40" i="3"/>
  <c r="T40" i="3" s="1"/>
  <c r="Q39" i="3"/>
  <c r="T39" i="3" s="1"/>
  <c r="M41" i="3"/>
  <c r="P41" i="3" s="1"/>
  <c r="P40" i="3"/>
  <c r="M40" i="3"/>
  <c r="O40" i="3" s="1"/>
  <c r="P39" i="3"/>
  <c r="O39" i="3"/>
  <c r="M39" i="3"/>
  <c r="I41" i="3"/>
  <c r="L41" i="3" s="1"/>
  <c r="L40" i="3"/>
  <c r="I40" i="3"/>
  <c r="K40" i="3" s="1"/>
  <c r="L39" i="3"/>
  <c r="K39" i="3"/>
  <c r="I39" i="3"/>
  <c r="H41" i="3"/>
  <c r="G41" i="3"/>
  <c r="H40" i="3"/>
  <c r="G40" i="3"/>
  <c r="H39" i="3"/>
  <c r="G39" i="3"/>
  <c r="D41" i="3"/>
  <c r="C41" i="3"/>
  <c r="D40" i="3"/>
  <c r="C40" i="3"/>
  <c r="D39" i="3"/>
  <c r="C39" i="3"/>
  <c r="E41" i="3"/>
  <c r="E40" i="3"/>
  <c r="E39" i="3"/>
  <c r="N6" i="3"/>
  <c r="R6" i="3" s="1"/>
  <c r="V6" i="3" s="1"/>
  <c r="Z6" i="3" s="1"/>
  <c r="AD6" i="3" s="1"/>
  <c r="AH6" i="3" s="1"/>
  <c r="AL6" i="3" s="1"/>
  <c r="AP6" i="3" s="1"/>
  <c r="AT6" i="3" s="1"/>
  <c r="AX6" i="3" s="1"/>
  <c r="BB6" i="3" s="1"/>
  <c r="BF6" i="3" s="1"/>
  <c r="BJ6" i="3" s="1"/>
  <c r="BN6" i="3" s="1"/>
  <c r="BR6" i="3" s="1"/>
  <c r="J8" i="3"/>
  <c r="N8" i="3" s="1"/>
  <c r="R8" i="3" s="1"/>
  <c r="V8" i="3" s="1"/>
  <c r="Z8" i="3" s="1"/>
  <c r="AD8" i="3" s="1"/>
  <c r="AH8" i="3" s="1"/>
  <c r="AL8" i="3" s="1"/>
  <c r="AP8" i="3" s="1"/>
  <c r="AT8" i="3" s="1"/>
  <c r="AX8" i="3" s="1"/>
  <c r="BB8" i="3" s="1"/>
  <c r="BF8" i="3" s="1"/>
  <c r="BJ8" i="3" s="1"/>
  <c r="BN8" i="3" s="1"/>
  <c r="BR8" i="3" s="1"/>
  <c r="L6" i="3"/>
  <c r="P6" i="3" s="1"/>
  <c r="T6" i="3" s="1"/>
  <c r="X6" i="3" s="1"/>
  <c r="AB6" i="3" s="1"/>
  <c r="AF6" i="3" s="1"/>
  <c r="AJ6" i="3" s="1"/>
  <c r="AN6" i="3" s="1"/>
  <c r="AR6" i="3" s="1"/>
  <c r="AV6" i="3" s="1"/>
  <c r="AZ6" i="3" s="1"/>
  <c r="BD6" i="3" s="1"/>
  <c r="BH6" i="3" s="1"/>
  <c r="BL6" i="3" s="1"/>
  <c r="BP6" i="3" s="1"/>
  <c r="BT6" i="3" s="1"/>
  <c r="J6" i="3"/>
  <c r="L5" i="3"/>
  <c r="P5" i="3" s="1"/>
  <c r="T5" i="3" s="1"/>
  <c r="X5" i="3" s="1"/>
  <c r="AB5" i="3" s="1"/>
  <c r="AF5" i="3" s="1"/>
  <c r="AJ5" i="3" s="1"/>
  <c r="AN5" i="3" s="1"/>
  <c r="AR5" i="3" s="1"/>
  <c r="AV5" i="3" s="1"/>
  <c r="AZ5" i="3" s="1"/>
  <c r="BD5" i="3" s="1"/>
  <c r="BH5" i="3" s="1"/>
  <c r="BL5" i="3" s="1"/>
  <c r="BP5" i="3" s="1"/>
  <c r="BT5" i="3" s="1"/>
  <c r="K5" i="3"/>
  <c r="O5" i="3" s="1"/>
  <c r="S5" i="3" s="1"/>
  <c r="W5" i="3" s="1"/>
  <c r="AA5" i="3" s="1"/>
  <c r="AE5" i="3" s="1"/>
  <c r="AI5" i="3" s="1"/>
  <c r="AM5" i="3" s="1"/>
  <c r="AQ5" i="3" s="1"/>
  <c r="AU5" i="3" s="1"/>
  <c r="AY5" i="3" s="1"/>
  <c r="BC5" i="3" s="1"/>
  <c r="BG5" i="3" s="1"/>
  <c r="BK5" i="3" s="1"/>
  <c r="BO5" i="3" s="1"/>
  <c r="BS5" i="3" s="1"/>
  <c r="F6" i="3"/>
  <c r="G6" i="3"/>
  <c r="K6" i="3" s="1"/>
  <c r="O6" i="3" s="1"/>
  <c r="S6" i="3" s="1"/>
  <c r="W6" i="3" s="1"/>
  <c r="AA6" i="3" s="1"/>
  <c r="AE6" i="3" s="1"/>
  <c r="AI6" i="3" s="1"/>
  <c r="AM6" i="3" s="1"/>
  <c r="AQ6" i="3" s="1"/>
  <c r="AU6" i="3" s="1"/>
  <c r="AY6" i="3" s="1"/>
  <c r="BC6" i="3" s="1"/>
  <c r="BG6" i="3" s="1"/>
  <c r="BK6" i="3" s="1"/>
  <c r="BO6" i="3" s="1"/>
  <c r="BS6" i="3" s="1"/>
  <c r="H6" i="3"/>
  <c r="F7" i="3"/>
  <c r="J7" i="3" s="1"/>
  <c r="N7" i="3" s="1"/>
  <c r="R7" i="3" s="1"/>
  <c r="V7" i="3" s="1"/>
  <c r="Z7" i="3" s="1"/>
  <c r="AD7" i="3" s="1"/>
  <c r="AH7" i="3" s="1"/>
  <c r="AL7" i="3" s="1"/>
  <c r="AP7" i="3" s="1"/>
  <c r="AT7" i="3" s="1"/>
  <c r="AX7" i="3" s="1"/>
  <c r="BB7" i="3" s="1"/>
  <c r="BF7" i="3" s="1"/>
  <c r="BJ7" i="3" s="1"/>
  <c r="BN7" i="3" s="1"/>
  <c r="BR7" i="3" s="1"/>
  <c r="G7" i="3"/>
  <c r="K7" i="3" s="1"/>
  <c r="O7" i="3" s="1"/>
  <c r="S7" i="3" s="1"/>
  <c r="W7" i="3" s="1"/>
  <c r="AA7" i="3" s="1"/>
  <c r="AE7" i="3" s="1"/>
  <c r="AI7" i="3" s="1"/>
  <c r="AM7" i="3" s="1"/>
  <c r="AQ7" i="3" s="1"/>
  <c r="AU7" i="3" s="1"/>
  <c r="AY7" i="3" s="1"/>
  <c r="BC7" i="3" s="1"/>
  <c r="BG7" i="3" s="1"/>
  <c r="BK7" i="3" s="1"/>
  <c r="BO7" i="3" s="1"/>
  <c r="BS7" i="3" s="1"/>
  <c r="H7" i="3"/>
  <c r="L7" i="3" s="1"/>
  <c r="P7" i="3" s="1"/>
  <c r="T7" i="3" s="1"/>
  <c r="X7" i="3" s="1"/>
  <c r="AB7" i="3" s="1"/>
  <c r="AF7" i="3" s="1"/>
  <c r="AJ7" i="3" s="1"/>
  <c r="AN7" i="3" s="1"/>
  <c r="AR7" i="3" s="1"/>
  <c r="AV7" i="3" s="1"/>
  <c r="AZ7" i="3" s="1"/>
  <c r="BD7" i="3" s="1"/>
  <c r="BH7" i="3" s="1"/>
  <c r="BL7" i="3" s="1"/>
  <c r="BP7" i="3" s="1"/>
  <c r="BT7" i="3" s="1"/>
  <c r="F8" i="3"/>
  <c r="G8" i="3"/>
  <c r="K8" i="3" s="1"/>
  <c r="O8" i="3" s="1"/>
  <c r="S8" i="3" s="1"/>
  <c r="W8" i="3" s="1"/>
  <c r="AA8" i="3" s="1"/>
  <c r="AE8" i="3" s="1"/>
  <c r="AI8" i="3" s="1"/>
  <c r="AM8" i="3" s="1"/>
  <c r="AQ8" i="3" s="1"/>
  <c r="AU8" i="3" s="1"/>
  <c r="AY8" i="3" s="1"/>
  <c r="BC8" i="3" s="1"/>
  <c r="BG8" i="3" s="1"/>
  <c r="BK8" i="3" s="1"/>
  <c r="BO8" i="3" s="1"/>
  <c r="BS8" i="3" s="1"/>
  <c r="H8" i="3"/>
  <c r="L8" i="3" s="1"/>
  <c r="P8" i="3" s="1"/>
  <c r="T8" i="3" s="1"/>
  <c r="X8" i="3" s="1"/>
  <c r="AB8" i="3" s="1"/>
  <c r="AF8" i="3" s="1"/>
  <c r="AJ8" i="3" s="1"/>
  <c r="AN8" i="3" s="1"/>
  <c r="AR8" i="3" s="1"/>
  <c r="AV8" i="3" s="1"/>
  <c r="AZ8" i="3" s="1"/>
  <c r="BD8" i="3" s="1"/>
  <c r="BH8" i="3" s="1"/>
  <c r="BL8" i="3" s="1"/>
  <c r="BP8" i="3" s="1"/>
  <c r="BT8" i="3" s="1"/>
  <c r="H5" i="3"/>
  <c r="G5" i="3"/>
  <c r="F5" i="3"/>
  <c r="J5" i="3" s="1"/>
  <c r="N5" i="3" s="1"/>
  <c r="R5" i="3" s="1"/>
  <c r="V5" i="3" s="1"/>
  <c r="Z5" i="3" s="1"/>
  <c r="AD5" i="3" s="1"/>
  <c r="AH5" i="3" s="1"/>
  <c r="AL5" i="3" s="1"/>
  <c r="AP5" i="3" s="1"/>
  <c r="AT5" i="3" s="1"/>
  <c r="AX5" i="3" s="1"/>
  <c r="BB5" i="3" s="1"/>
  <c r="BF5" i="3" s="1"/>
  <c r="BJ5" i="3" s="1"/>
  <c r="BN5" i="3" s="1"/>
  <c r="BR5" i="3" s="1"/>
  <c r="CO24" i="5" l="1"/>
  <c r="CH4" i="5"/>
  <c r="CO44" i="5"/>
  <c r="CP34" i="5"/>
  <c r="CO14" i="5"/>
  <c r="CP14" i="5"/>
  <c r="CP4" i="5"/>
  <c r="CF70" i="5"/>
  <c r="CO4" i="5"/>
  <c r="CI44" i="5"/>
  <c r="CH14" i="5"/>
  <c r="CF76" i="5"/>
  <c r="CH44" i="5"/>
  <c r="CF71" i="5"/>
  <c r="CF67" i="5"/>
  <c r="CO34" i="5"/>
  <c r="CH34" i="5"/>
  <c r="CH24" i="5"/>
  <c r="CF65" i="5"/>
  <c r="CF79" i="5"/>
  <c r="CF72" i="5"/>
  <c r="CI14" i="5"/>
  <c r="CP44" i="5"/>
  <c r="CI34" i="5"/>
  <c r="CI24" i="5"/>
  <c r="CF78" i="5"/>
  <c r="CP24" i="5"/>
  <c r="CF68" i="5"/>
  <c r="CF75" i="5"/>
  <c r="CF69" i="5"/>
  <c r="CF66" i="5"/>
  <c r="CJ45" i="5"/>
  <c r="CQ5" i="5"/>
  <c r="CJ15" i="5"/>
  <c r="CQ25" i="5"/>
  <c r="CN16" i="5"/>
  <c r="CQ16" i="5" s="1"/>
  <c r="CQ17" i="5"/>
  <c r="CQ45" i="5"/>
  <c r="CQ35" i="5"/>
  <c r="CG6" i="5"/>
  <c r="CJ6" i="5" s="1"/>
  <c r="CJ7" i="5"/>
  <c r="CG46" i="5"/>
  <c r="CJ46" i="5" s="1"/>
  <c r="CJ47" i="5"/>
  <c r="CQ15" i="5"/>
  <c r="CN6" i="5"/>
  <c r="CQ6" i="5" s="1"/>
  <c r="CQ7" i="5"/>
  <c r="CN46" i="5"/>
  <c r="CQ46" i="5" s="1"/>
  <c r="CQ47" i="5"/>
  <c r="CN36" i="5"/>
  <c r="CQ36" i="5" s="1"/>
  <c r="CQ37" i="5"/>
  <c r="CJ35" i="5"/>
  <c r="CJ25" i="5"/>
  <c r="CF73" i="5"/>
  <c r="CI4" i="5"/>
  <c r="CG36" i="5"/>
  <c r="CJ36" i="5" s="1"/>
  <c r="CJ37" i="5"/>
  <c r="CG26" i="5"/>
  <c r="CJ26" i="5" s="1"/>
  <c r="CJ27" i="5"/>
  <c r="CN26" i="5"/>
  <c r="CQ26" i="5" s="1"/>
  <c r="CQ27" i="5"/>
  <c r="CG16" i="5"/>
  <c r="CJ16" i="5" s="1"/>
  <c r="CJ17" i="5"/>
  <c r="CF74" i="5"/>
  <c r="CF77" i="5"/>
  <c r="CJ5" i="5"/>
  <c r="BS39" i="3"/>
  <c r="BO40" i="3"/>
  <c r="BO39" i="3"/>
  <c r="BK40" i="3"/>
  <c r="BK39" i="3"/>
  <c r="BG39" i="3"/>
  <c r="BC40" i="3"/>
  <c r="BC39" i="3"/>
  <c r="AY40" i="3"/>
  <c r="AY39" i="3"/>
  <c r="AU39" i="3"/>
  <c r="AV40" i="3"/>
  <c r="AQ40" i="3"/>
  <c r="AQ39" i="3"/>
  <c r="AM39" i="3"/>
  <c r="AN40" i="3"/>
  <c r="AI39" i="3"/>
  <c r="AJ40" i="3"/>
  <c r="AE39" i="3"/>
  <c r="AA39" i="3"/>
  <c r="AB40" i="3"/>
  <c r="W42" i="3"/>
  <c r="X42" i="3"/>
  <c r="W41" i="3"/>
  <c r="T42" i="3"/>
  <c r="S40" i="3"/>
  <c r="S39" i="3"/>
  <c r="S42" i="3" s="1"/>
  <c r="O42" i="3"/>
  <c r="P42" i="3"/>
  <c r="O41" i="3"/>
  <c r="K42" i="3"/>
  <c r="L42" i="3"/>
  <c r="K41" i="3"/>
  <c r="CN34" i="5" l="1"/>
  <c r="CN40" i="5" s="1"/>
  <c r="CG4" i="5"/>
  <c r="CI8" i="5" s="1"/>
  <c r="CN44" i="5"/>
  <c r="CP49" i="5" s="1"/>
  <c r="CG24" i="5"/>
  <c r="CG14" i="5"/>
  <c r="CG44" i="5"/>
  <c r="CG34" i="5"/>
  <c r="CN14" i="5"/>
  <c r="CN24" i="5"/>
  <c r="CN4" i="5"/>
  <c r="BE21" i="3"/>
  <c r="BI21" i="3"/>
  <c r="BM21" i="3"/>
  <c r="BQ21" i="3"/>
  <c r="BQ6" i="3"/>
  <c r="BQ7" i="3" s="1"/>
  <c r="BQ8" i="3" s="1"/>
  <c r="BQ9" i="3" s="1"/>
  <c r="BQ10" i="3" s="1"/>
  <c r="BQ11" i="3" s="1"/>
  <c r="BQ12" i="3" s="1"/>
  <c r="BQ13" i="3" s="1"/>
  <c r="BQ14" i="3" s="1"/>
  <c r="BQ15" i="3" s="1"/>
  <c r="BQ16" i="3" s="1"/>
  <c r="BQ17" i="3" s="1"/>
  <c r="BQ18" i="3" s="1"/>
  <c r="BQ19" i="3" s="1"/>
  <c r="BQ20" i="3" s="1"/>
  <c r="BM6" i="3"/>
  <c r="BM7" i="3" s="1"/>
  <c r="BM8" i="3" s="1"/>
  <c r="BM9" i="3" s="1"/>
  <c r="BM10" i="3" s="1"/>
  <c r="BM11" i="3" s="1"/>
  <c r="BM12" i="3" s="1"/>
  <c r="BM13" i="3" s="1"/>
  <c r="BM14" i="3" s="1"/>
  <c r="BM15" i="3" s="1"/>
  <c r="BM16" i="3" s="1"/>
  <c r="BM17" i="3" s="1"/>
  <c r="BM18" i="3" s="1"/>
  <c r="BM19" i="3" s="1"/>
  <c r="BM20" i="3" s="1"/>
  <c r="BM22" i="3" s="1"/>
  <c r="BM23" i="3" s="1"/>
  <c r="BM24" i="3" s="1"/>
  <c r="BM25" i="3" s="1"/>
  <c r="BM26" i="3" s="1"/>
  <c r="BM27" i="3" s="1"/>
  <c r="BM28" i="3" s="1"/>
  <c r="BM29" i="3" s="1"/>
  <c r="BM30" i="3" s="1"/>
  <c r="BM31" i="3" s="1"/>
  <c r="BM32" i="3" s="1"/>
  <c r="BM33" i="3" s="1"/>
  <c r="BM34" i="3" s="1"/>
  <c r="BI6" i="3"/>
  <c r="BI7" i="3" s="1"/>
  <c r="BI8" i="3" s="1"/>
  <c r="BI9" i="3" s="1"/>
  <c r="BI10" i="3" s="1"/>
  <c r="BI11" i="3" s="1"/>
  <c r="BI12" i="3" s="1"/>
  <c r="BI13" i="3" s="1"/>
  <c r="BI14" i="3" s="1"/>
  <c r="BI15" i="3" s="1"/>
  <c r="BI16" i="3" s="1"/>
  <c r="BI17" i="3" s="1"/>
  <c r="BI18" i="3" s="1"/>
  <c r="BI19" i="3" s="1"/>
  <c r="BI20" i="3" s="1"/>
  <c r="BE6" i="3"/>
  <c r="BE7" i="3" s="1"/>
  <c r="BE8" i="3" s="1"/>
  <c r="BE9" i="3" s="1"/>
  <c r="BE10" i="3" s="1"/>
  <c r="BE11" i="3" s="1"/>
  <c r="BE12" i="3" s="1"/>
  <c r="BE13" i="3" s="1"/>
  <c r="BE14" i="3" s="1"/>
  <c r="BE15" i="3" s="1"/>
  <c r="BE16" i="3" s="1"/>
  <c r="BE17" i="3" s="1"/>
  <c r="BE18" i="3" s="1"/>
  <c r="BE19" i="3" s="1"/>
  <c r="BE20" i="3" s="1"/>
  <c r="BE22" i="3" s="1"/>
  <c r="BE23" i="3" s="1"/>
  <c r="BE24" i="3" s="1"/>
  <c r="BE25" i="3" s="1"/>
  <c r="BE26" i="3" s="1"/>
  <c r="BE27" i="3" s="1"/>
  <c r="BE28" i="3" s="1"/>
  <c r="BE29" i="3" s="1"/>
  <c r="BE30" i="3" s="1"/>
  <c r="BE31" i="3" s="1"/>
  <c r="BE32" i="3" s="1"/>
  <c r="BE33" i="3" s="1"/>
  <c r="BE34" i="3" s="1"/>
  <c r="BA6" i="3"/>
  <c r="BA7" i="3" s="1"/>
  <c r="BA8" i="3" s="1"/>
  <c r="BA9" i="3" s="1"/>
  <c r="BA10" i="3" s="1"/>
  <c r="BA11" i="3" s="1"/>
  <c r="BA12" i="3" s="1"/>
  <c r="BA13" i="3" s="1"/>
  <c r="BA14" i="3" s="1"/>
  <c r="BA15" i="3" s="1"/>
  <c r="BA16" i="3" s="1"/>
  <c r="BA17" i="3" s="1"/>
  <c r="BA18" i="3" s="1"/>
  <c r="BA19" i="3" s="1"/>
  <c r="BA20" i="3" s="1"/>
  <c r="BA21" i="3" s="1"/>
  <c r="BA22" i="3" s="1"/>
  <c r="BA23" i="3" s="1"/>
  <c r="BA24" i="3" s="1"/>
  <c r="BA25" i="3" s="1"/>
  <c r="BA26" i="3" s="1"/>
  <c r="BA27" i="3" s="1"/>
  <c r="BA28" i="3" s="1"/>
  <c r="BA29" i="3" s="1"/>
  <c r="BA30" i="3" s="1"/>
  <c r="BA31" i="3" s="1"/>
  <c r="BA32" i="3" s="1"/>
  <c r="BA33" i="3" s="1"/>
  <c r="BA34" i="3" s="1"/>
  <c r="AW6" i="3"/>
  <c r="AW7" i="3" s="1"/>
  <c r="AW8" i="3" s="1"/>
  <c r="AW9" i="3" s="1"/>
  <c r="AW10" i="3" s="1"/>
  <c r="AW11" i="3" s="1"/>
  <c r="AW12" i="3" s="1"/>
  <c r="AW13" i="3" s="1"/>
  <c r="AW14" i="3" s="1"/>
  <c r="AW15" i="3" s="1"/>
  <c r="AW16" i="3" s="1"/>
  <c r="AW17" i="3" s="1"/>
  <c r="AW18" i="3" s="1"/>
  <c r="AW19" i="3" s="1"/>
  <c r="AW20" i="3" s="1"/>
  <c r="AW21" i="3" s="1"/>
  <c r="AW22" i="3" s="1"/>
  <c r="AW23" i="3" s="1"/>
  <c r="AW24" i="3" s="1"/>
  <c r="AW25" i="3" s="1"/>
  <c r="AW26" i="3" s="1"/>
  <c r="AW27" i="3" s="1"/>
  <c r="AW28" i="3" s="1"/>
  <c r="AW29" i="3" s="1"/>
  <c r="AW30" i="3" s="1"/>
  <c r="AW31" i="3" s="1"/>
  <c r="AW32" i="3" s="1"/>
  <c r="AW33" i="3" s="1"/>
  <c r="AW34" i="3" s="1"/>
  <c r="AS6" i="3"/>
  <c r="AS7" i="3" s="1"/>
  <c r="AS8" i="3" s="1"/>
  <c r="AS9" i="3" s="1"/>
  <c r="AS10" i="3" s="1"/>
  <c r="AS11" i="3" s="1"/>
  <c r="AS12" i="3" s="1"/>
  <c r="AS13" i="3" s="1"/>
  <c r="AS14" i="3" s="1"/>
  <c r="AS15" i="3" s="1"/>
  <c r="AS16" i="3" s="1"/>
  <c r="AS17" i="3" s="1"/>
  <c r="AS18" i="3" s="1"/>
  <c r="AS19" i="3" s="1"/>
  <c r="AS20" i="3" s="1"/>
  <c r="AS21" i="3" s="1"/>
  <c r="AS22" i="3" s="1"/>
  <c r="AS23" i="3" s="1"/>
  <c r="AS24" i="3" s="1"/>
  <c r="AS25" i="3" s="1"/>
  <c r="AS26" i="3" s="1"/>
  <c r="AS27" i="3" s="1"/>
  <c r="AS28" i="3" s="1"/>
  <c r="AS29" i="3" s="1"/>
  <c r="AS30" i="3" s="1"/>
  <c r="AS31" i="3" s="1"/>
  <c r="AS32" i="3" s="1"/>
  <c r="AS33" i="3" s="1"/>
  <c r="AS34" i="3" s="1"/>
  <c r="AO6" i="3"/>
  <c r="AO7" i="3" s="1"/>
  <c r="AO8" i="3" s="1"/>
  <c r="AO9" i="3" s="1"/>
  <c r="AO10" i="3" s="1"/>
  <c r="AO11" i="3" s="1"/>
  <c r="AO12" i="3" s="1"/>
  <c r="AO13" i="3" s="1"/>
  <c r="AO14" i="3" s="1"/>
  <c r="AO15" i="3" s="1"/>
  <c r="AO16" i="3" s="1"/>
  <c r="AO17" i="3" s="1"/>
  <c r="AO18" i="3" s="1"/>
  <c r="AO19" i="3" s="1"/>
  <c r="AO20" i="3" s="1"/>
  <c r="AO21" i="3" s="1"/>
  <c r="AO22" i="3" s="1"/>
  <c r="AO23" i="3" s="1"/>
  <c r="AO24" i="3" s="1"/>
  <c r="AO25" i="3" s="1"/>
  <c r="AO26" i="3" s="1"/>
  <c r="AO27" i="3" s="1"/>
  <c r="AO28" i="3" s="1"/>
  <c r="AO29" i="3" s="1"/>
  <c r="AO30" i="3" s="1"/>
  <c r="AO31" i="3" s="1"/>
  <c r="AO32" i="3" s="1"/>
  <c r="AO33" i="3" s="1"/>
  <c r="AO34" i="3" s="1"/>
  <c r="AK6" i="3"/>
  <c r="AK7" i="3" s="1"/>
  <c r="AK8" i="3" s="1"/>
  <c r="AK9" i="3" s="1"/>
  <c r="AK10" i="3" s="1"/>
  <c r="AK11" i="3" s="1"/>
  <c r="AK12" i="3" s="1"/>
  <c r="AK13" i="3" s="1"/>
  <c r="AK14" i="3" s="1"/>
  <c r="AK15" i="3" s="1"/>
  <c r="AK16" i="3" s="1"/>
  <c r="AK17" i="3" s="1"/>
  <c r="AK18" i="3" s="1"/>
  <c r="AK19" i="3" s="1"/>
  <c r="AK20" i="3" s="1"/>
  <c r="AK21" i="3" s="1"/>
  <c r="AK22" i="3" s="1"/>
  <c r="AK23" i="3" s="1"/>
  <c r="AK24" i="3" s="1"/>
  <c r="AK25" i="3" s="1"/>
  <c r="AK26" i="3" s="1"/>
  <c r="AK27" i="3" s="1"/>
  <c r="AK28" i="3" s="1"/>
  <c r="AK29" i="3" s="1"/>
  <c r="AK30" i="3" s="1"/>
  <c r="AK31" i="3" s="1"/>
  <c r="AK32" i="3" s="1"/>
  <c r="AK33" i="3" s="1"/>
  <c r="AK34" i="3" s="1"/>
  <c r="AG6" i="3"/>
  <c r="AG7" i="3" s="1"/>
  <c r="AG8" i="3" s="1"/>
  <c r="AG9" i="3" s="1"/>
  <c r="AG10" i="3" s="1"/>
  <c r="AG11" i="3" s="1"/>
  <c r="AG12" i="3" s="1"/>
  <c r="AG13" i="3" s="1"/>
  <c r="AG14" i="3" s="1"/>
  <c r="AG15" i="3" s="1"/>
  <c r="AG16" i="3" s="1"/>
  <c r="AG17" i="3" s="1"/>
  <c r="AG18" i="3" s="1"/>
  <c r="AG19" i="3" s="1"/>
  <c r="AG20" i="3" s="1"/>
  <c r="AG21" i="3" s="1"/>
  <c r="AG22" i="3" s="1"/>
  <c r="AG23" i="3" s="1"/>
  <c r="AG24" i="3" s="1"/>
  <c r="AG25" i="3" s="1"/>
  <c r="AG26" i="3" s="1"/>
  <c r="AG27" i="3" s="1"/>
  <c r="AG28" i="3" s="1"/>
  <c r="AG29" i="3" s="1"/>
  <c r="AG30" i="3" s="1"/>
  <c r="AG31" i="3" s="1"/>
  <c r="AG32" i="3" s="1"/>
  <c r="AG33" i="3" s="1"/>
  <c r="AG34" i="3" s="1"/>
  <c r="AC6" i="3"/>
  <c r="AC7" i="3" s="1"/>
  <c r="AC8" i="3" s="1"/>
  <c r="AC9" i="3" s="1"/>
  <c r="AC10" i="3" s="1"/>
  <c r="AC11" i="3" s="1"/>
  <c r="AC12" i="3" s="1"/>
  <c r="AC13" i="3" s="1"/>
  <c r="AC14" i="3" s="1"/>
  <c r="AC15" i="3" s="1"/>
  <c r="AC16" i="3" s="1"/>
  <c r="AC17" i="3" s="1"/>
  <c r="AC18" i="3" s="1"/>
  <c r="AC19" i="3" s="1"/>
  <c r="AC20" i="3" s="1"/>
  <c r="AC21" i="3" s="1"/>
  <c r="AC22" i="3" s="1"/>
  <c r="AC23" i="3" s="1"/>
  <c r="AC24" i="3" s="1"/>
  <c r="AC25" i="3" s="1"/>
  <c r="AC26" i="3" s="1"/>
  <c r="AC27" i="3" s="1"/>
  <c r="AC28" i="3" s="1"/>
  <c r="AC29" i="3" s="1"/>
  <c r="AC30" i="3" s="1"/>
  <c r="AC31" i="3" s="1"/>
  <c r="AC32" i="3" s="1"/>
  <c r="AC33" i="3" s="1"/>
  <c r="AC34" i="3" s="1"/>
  <c r="Y6" i="3"/>
  <c r="Y7" i="3" s="1"/>
  <c r="Y8" i="3" s="1"/>
  <c r="Y9" i="3" s="1"/>
  <c r="Y10" i="3" s="1"/>
  <c r="Y11" i="3" s="1"/>
  <c r="Y12" i="3" s="1"/>
  <c r="Y13" i="3" s="1"/>
  <c r="Y14" i="3" s="1"/>
  <c r="Y15" i="3" s="1"/>
  <c r="Y16" i="3" s="1"/>
  <c r="Y17" i="3" s="1"/>
  <c r="Y18" i="3" s="1"/>
  <c r="Y19" i="3" s="1"/>
  <c r="Y20" i="3" s="1"/>
  <c r="Y21" i="3" s="1"/>
  <c r="Y22" i="3" s="1"/>
  <c r="Y23" i="3" s="1"/>
  <c r="Y24" i="3" s="1"/>
  <c r="Y25" i="3" s="1"/>
  <c r="Y26" i="3" s="1"/>
  <c r="Y27" i="3" s="1"/>
  <c r="Y28" i="3" s="1"/>
  <c r="Y29" i="3" s="1"/>
  <c r="Y30" i="3" s="1"/>
  <c r="Y31" i="3" s="1"/>
  <c r="Y32" i="3" s="1"/>
  <c r="Y33" i="3" s="1"/>
  <c r="Y34" i="3" s="1"/>
  <c r="U6" i="3"/>
  <c r="U7" i="3" s="1"/>
  <c r="U8" i="3" s="1"/>
  <c r="U9" i="3" s="1"/>
  <c r="U10" i="3" s="1"/>
  <c r="U11" i="3" s="1"/>
  <c r="U12" i="3" s="1"/>
  <c r="U13" i="3" s="1"/>
  <c r="U14" i="3" s="1"/>
  <c r="U15" i="3" s="1"/>
  <c r="U16" i="3" s="1"/>
  <c r="U17" i="3" s="1"/>
  <c r="U18" i="3" s="1"/>
  <c r="U19" i="3" s="1"/>
  <c r="U20" i="3" s="1"/>
  <c r="U21" i="3" s="1"/>
  <c r="U22" i="3" s="1"/>
  <c r="U23" i="3" s="1"/>
  <c r="U24" i="3" s="1"/>
  <c r="U25" i="3" s="1"/>
  <c r="U26" i="3" s="1"/>
  <c r="U27" i="3" s="1"/>
  <c r="U28" i="3" s="1"/>
  <c r="U29" i="3" s="1"/>
  <c r="U30" i="3" s="1"/>
  <c r="U31" i="3" s="1"/>
  <c r="U32" i="3" s="1"/>
  <c r="U33" i="3" s="1"/>
  <c r="U34" i="3" s="1"/>
  <c r="Q6" i="3"/>
  <c r="Q7" i="3" s="1"/>
  <c r="Q8" i="3" s="1"/>
  <c r="Q9" i="3" s="1"/>
  <c r="Q10" i="3" s="1"/>
  <c r="Q11" i="3" s="1"/>
  <c r="Q12" i="3" s="1"/>
  <c r="Q13" i="3" s="1"/>
  <c r="Q14" i="3" s="1"/>
  <c r="Q15" i="3" s="1"/>
  <c r="Q16" i="3" s="1"/>
  <c r="Q17" i="3" s="1"/>
  <c r="Q18" i="3" s="1"/>
  <c r="Q19" i="3" s="1"/>
  <c r="Q20" i="3" s="1"/>
  <c r="Q21" i="3" s="1"/>
  <c r="Q22" i="3" s="1"/>
  <c r="Q23" i="3" s="1"/>
  <c r="Q24" i="3" s="1"/>
  <c r="Q25" i="3" s="1"/>
  <c r="Q26" i="3" s="1"/>
  <c r="Q27" i="3" s="1"/>
  <c r="Q28" i="3" s="1"/>
  <c r="Q29" i="3" s="1"/>
  <c r="Q30" i="3" s="1"/>
  <c r="Q31" i="3" s="1"/>
  <c r="Q32" i="3" s="1"/>
  <c r="Q33" i="3" s="1"/>
  <c r="Q34" i="3" s="1"/>
  <c r="M6" i="3"/>
  <c r="M7" i="3" s="1"/>
  <c r="M8" i="3" s="1"/>
  <c r="M9" i="3" s="1"/>
  <c r="M10" i="3" s="1"/>
  <c r="M11" i="3" s="1"/>
  <c r="M12" i="3" s="1"/>
  <c r="M13" i="3" s="1"/>
  <c r="M14" i="3" s="1"/>
  <c r="M15" i="3" s="1"/>
  <c r="M16" i="3" s="1"/>
  <c r="M17" i="3" s="1"/>
  <c r="M18" i="3" s="1"/>
  <c r="M19" i="3" s="1"/>
  <c r="M20" i="3" s="1"/>
  <c r="M21" i="3" s="1"/>
  <c r="M22" i="3" s="1"/>
  <c r="M23" i="3" s="1"/>
  <c r="M24" i="3" s="1"/>
  <c r="M25" i="3" s="1"/>
  <c r="M26" i="3" s="1"/>
  <c r="M27" i="3" s="1"/>
  <c r="M28" i="3" s="1"/>
  <c r="M29" i="3" s="1"/>
  <c r="M30" i="3" s="1"/>
  <c r="M31" i="3" s="1"/>
  <c r="M32" i="3" s="1"/>
  <c r="M33" i="3" s="1"/>
  <c r="M34" i="3" s="1"/>
  <c r="I6" i="3"/>
  <c r="I7" i="3" s="1"/>
  <c r="I8" i="3" s="1"/>
  <c r="I9" i="3" s="1"/>
  <c r="I10" i="3" s="1"/>
  <c r="I11" i="3" s="1"/>
  <c r="I12" i="3" s="1"/>
  <c r="I13" i="3" s="1"/>
  <c r="I14" i="3" s="1"/>
  <c r="I15" i="3" s="1"/>
  <c r="I16" i="3" s="1"/>
  <c r="I17" i="3" s="1"/>
  <c r="I18" i="3" s="1"/>
  <c r="I19" i="3" s="1"/>
  <c r="I20" i="3" s="1"/>
  <c r="I21" i="3" s="1"/>
  <c r="I22" i="3" s="1"/>
  <c r="I23" i="3" s="1"/>
  <c r="I24" i="3" s="1"/>
  <c r="I25" i="3" s="1"/>
  <c r="I26" i="3" s="1"/>
  <c r="I27" i="3" s="1"/>
  <c r="I28" i="3" s="1"/>
  <c r="I29" i="3" s="1"/>
  <c r="I30" i="3" s="1"/>
  <c r="I31" i="3" s="1"/>
  <c r="I32" i="3" s="1"/>
  <c r="I33" i="3" s="1"/>
  <c r="I34" i="3" s="1"/>
  <c r="E6" i="3"/>
  <c r="E7" i="3" s="1"/>
  <c r="E8" i="3" s="1"/>
  <c r="E9" i="3" s="1"/>
  <c r="E10" i="3" s="1"/>
  <c r="E11" i="3" s="1"/>
  <c r="E12" i="3" s="1"/>
  <c r="E13" i="3" s="1"/>
  <c r="E14" i="3" s="1"/>
  <c r="E15" i="3" s="1"/>
  <c r="E16" i="3" s="1"/>
  <c r="E17" i="3" s="1"/>
  <c r="E18" i="3" s="1"/>
  <c r="E19" i="3" s="1"/>
  <c r="E20" i="3" s="1"/>
  <c r="E21" i="3" s="1"/>
  <c r="E22" i="3" s="1"/>
  <c r="E23" i="3" s="1"/>
  <c r="E24" i="3" s="1"/>
  <c r="E25" i="3" s="1"/>
  <c r="E26" i="3" s="1"/>
  <c r="E27" i="3" s="1"/>
  <c r="E28" i="3" s="1"/>
  <c r="E29" i="3" s="1"/>
  <c r="E30" i="3" s="1"/>
  <c r="E31" i="3" s="1"/>
  <c r="E32" i="3" s="1"/>
  <c r="E33" i="3" s="1"/>
  <c r="E34" i="3" s="1"/>
  <c r="A7" i="3"/>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6" i="3"/>
  <c r="CO50" i="5" l="1"/>
  <c r="CP48" i="5"/>
  <c r="CQ44" i="5"/>
  <c r="CN50" i="5"/>
  <c r="CO40" i="5"/>
  <c r="CP40" i="5" s="1"/>
  <c r="CQ34" i="5"/>
  <c r="CP38" i="5"/>
  <c r="CP39" i="5"/>
  <c r="CI9" i="5"/>
  <c r="CG10" i="5"/>
  <c r="CJ4" i="5"/>
  <c r="CH10" i="5"/>
  <c r="CQ14" i="5"/>
  <c r="CN20" i="5"/>
  <c r="CO20" i="5"/>
  <c r="CP19" i="5"/>
  <c r="CP18" i="5"/>
  <c r="CN30" i="5"/>
  <c r="CQ24" i="5"/>
  <c r="CO30" i="5"/>
  <c r="CP29" i="5"/>
  <c r="CP28" i="5"/>
  <c r="CJ44" i="5"/>
  <c r="CG50" i="5"/>
  <c r="CH50" i="5"/>
  <c r="CI49" i="5"/>
  <c r="CI48" i="5"/>
  <c r="CG20" i="5"/>
  <c r="CJ14" i="5"/>
  <c r="CI19" i="5"/>
  <c r="CI18" i="5"/>
  <c r="CH20" i="5"/>
  <c r="CG30" i="5"/>
  <c r="CJ24" i="5"/>
  <c r="CH30" i="5"/>
  <c r="CI29" i="5"/>
  <c r="CI28" i="5"/>
  <c r="CQ4" i="5"/>
  <c r="CN10" i="5"/>
  <c r="CP9" i="5"/>
  <c r="CO10" i="5"/>
  <c r="CP8" i="5"/>
  <c r="CJ34" i="5"/>
  <c r="CG40" i="5"/>
  <c r="CI38" i="5"/>
  <c r="CH40" i="5"/>
  <c r="CI39" i="5"/>
  <c r="BI22" i="3"/>
  <c r="BI23" i="3" s="1"/>
  <c r="BI24" i="3" s="1"/>
  <c r="BI25" i="3" s="1"/>
  <c r="BI26" i="3" s="1"/>
  <c r="BI27" i="3" s="1"/>
  <c r="BI28" i="3" s="1"/>
  <c r="BI29" i="3" s="1"/>
  <c r="BI30" i="3" s="1"/>
  <c r="BI31" i="3" s="1"/>
  <c r="BI32" i="3" s="1"/>
  <c r="BI33" i="3" s="1"/>
  <c r="BI34" i="3" s="1"/>
  <c r="BQ22" i="3"/>
  <c r="BQ23" i="3" s="1"/>
  <c r="BQ24" i="3" s="1"/>
  <c r="BQ25" i="3" s="1"/>
  <c r="BQ26" i="3" s="1"/>
  <c r="BQ27" i="3" s="1"/>
  <c r="BQ28" i="3" s="1"/>
  <c r="BQ29" i="3" s="1"/>
  <c r="BQ30" i="3" s="1"/>
  <c r="BQ31" i="3" s="1"/>
  <c r="BQ32" i="3" s="1"/>
  <c r="BQ33" i="3" s="1"/>
  <c r="BQ34" i="3" s="1"/>
  <c r="CP50" i="5" l="1"/>
  <c r="CI10" i="5"/>
  <c r="CI30" i="5"/>
  <c r="CI50" i="5"/>
  <c r="CP20" i="5"/>
  <c r="CP30" i="5"/>
  <c r="CI40" i="5"/>
  <c r="CI20" i="5"/>
  <c r="CP10" i="5"/>
  <c r="BK35" i="3"/>
  <c r="BT35" i="3"/>
  <c r="BL35" i="3"/>
  <c r="BP35" i="3"/>
  <c r="BG35" i="3"/>
  <c r="BH35" i="3"/>
  <c r="BO35" i="3" l="1"/>
  <c r="BS35" i="3"/>
  <c r="BG42" i="3" l="1"/>
  <c r="BH42" i="3"/>
  <c r="BC42" i="3"/>
  <c r="BD42" i="3"/>
  <c r="BD35" i="3"/>
  <c r="BC35" i="3"/>
  <c r="AF42" i="3"/>
  <c r="BK42" i="3" l="1"/>
  <c r="BL42" i="3"/>
  <c r="BO42" i="3"/>
  <c r="BP42" i="3"/>
  <c r="AR42" i="3"/>
  <c r="AE42" i="3"/>
  <c r="AQ42" i="3"/>
  <c r="AI42" i="3"/>
  <c r="AJ42" i="3"/>
  <c r="AV42" i="3"/>
  <c r="AU42" i="3"/>
  <c r="AM42" i="3"/>
  <c r="AZ42" i="3"/>
  <c r="AY42" i="3"/>
  <c r="AN42" i="3"/>
  <c r="AF35" i="3"/>
  <c r="AE35" i="3"/>
  <c r="AI35" i="3" l="1"/>
  <c r="AJ35" i="3"/>
  <c r="BS42" i="3" l="1"/>
  <c r="BT42" i="3"/>
  <c r="AN35" i="3"/>
  <c r="AM35" i="3"/>
  <c r="AQ35" i="3" l="1"/>
  <c r="AR35" i="3"/>
  <c r="AB35" i="3"/>
  <c r="X35" i="3"/>
  <c r="AZ35" i="3" l="1"/>
  <c r="AV35" i="3"/>
  <c r="AU35" i="3"/>
  <c r="AY35" i="3"/>
  <c r="AB42" i="3"/>
  <c r="AA35" i="3"/>
  <c r="G42" i="3"/>
  <c r="P37" i="3"/>
  <c r="AA42" i="3" l="1"/>
  <c r="H42" i="3"/>
  <c r="D35" i="3" l="1"/>
  <c r="C35" i="3"/>
  <c r="D42" i="3"/>
  <c r="C42" i="3"/>
  <c r="C44" i="3" l="1"/>
  <c r="D44" i="3"/>
  <c r="G35" i="3"/>
  <c r="H35" i="3" l="1"/>
  <c r="K35" i="3" l="1"/>
  <c r="L35" i="3"/>
  <c r="P35" i="3" l="1"/>
  <c r="O35" i="3"/>
  <c r="C79" i="3"/>
  <c r="D79" i="3"/>
  <c r="D83" i="3" s="1"/>
  <c r="H3" i="3" s="1"/>
  <c r="H44" i="3" s="1"/>
  <c r="T35" i="3" l="1"/>
  <c r="W35" i="3"/>
  <c r="S35" i="3"/>
  <c r="H79" i="3"/>
  <c r="H83" i="3" s="1"/>
  <c r="L3" i="3" s="1"/>
  <c r="L44" i="3" s="1"/>
  <c r="C81" i="3"/>
  <c r="C83" i="3" s="1"/>
  <c r="G3" i="3" s="1"/>
  <c r="G44" i="3" s="1"/>
  <c r="L79" i="3" l="1"/>
  <c r="L83" i="3" s="1"/>
  <c r="P3" i="3" s="1"/>
  <c r="P44" i="3" s="1"/>
  <c r="G79" i="3"/>
  <c r="G81" i="3" s="1"/>
  <c r="G83" i="3" s="1"/>
  <c r="K3" i="3" s="1"/>
  <c r="K44" i="3" s="1"/>
  <c r="P79" i="3" l="1"/>
  <c r="P83" i="3" s="1"/>
  <c r="T3" i="3" s="1"/>
  <c r="K79" i="3"/>
  <c r="K81" i="3" s="1"/>
  <c r="K83" i="3" s="1"/>
  <c r="O3" i="3" s="1"/>
  <c r="O44" i="3" s="1"/>
  <c r="T44" i="3" l="1"/>
  <c r="T79" i="3" s="1"/>
  <c r="T83" i="3" s="1"/>
  <c r="X3" i="3" s="1"/>
  <c r="O79" i="3"/>
  <c r="O81" i="3" s="1"/>
  <c r="O83" i="3" s="1"/>
  <c r="S3" i="3" s="1"/>
  <c r="X44" i="3" l="1"/>
  <c r="X79" i="3" s="1"/>
  <c r="X83" i="3" s="1"/>
  <c r="AB3" i="3" s="1"/>
  <c r="AB44" i="3" s="1"/>
  <c r="AB79" i="3" s="1"/>
  <c r="AB83" i="3" s="1"/>
  <c r="AF3" i="3" s="1"/>
  <c r="AF44" i="3" s="1"/>
  <c r="AF79" i="3" s="1"/>
  <c r="AF83" i="3" s="1"/>
  <c r="AJ3" i="3" s="1"/>
  <c r="AJ44" i="3" s="1"/>
  <c r="AJ79" i="3" s="1"/>
  <c r="AJ83" i="3" s="1"/>
  <c r="AN3" i="3" s="1"/>
  <c r="AN44" i="3" s="1"/>
  <c r="AN79" i="3" s="1"/>
  <c r="AN83" i="3" s="1"/>
  <c r="AR3" i="3" s="1"/>
  <c r="AR44" i="3" s="1"/>
  <c r="AR79" i="3" s="1"/>
  <c r="AR83" i="3" s="1"/>
  <c r="AV3" i="3" s="1"/>
  <c r="AV44" i="3" s="1"/>
  <c r="AV79" i="3" s="1"/>
  <c r="AV83" i="3" s="1"/>
  <c r="AZ3" i="3" s="1"/>
  <c r="AZ44" i="3" s="1"/>
  <c r="AZ79" i="3" s="1"/>
  <c r="AZ83" i="3" s="1"/>
  <c r="BD3" i="3" s="1"/>
  <c r="BD44" i="3" s="1"/>
  <c r="BD79" i="3" s="1"/>
  <c r="BD83" i="3" s="1"/>
  <c r="BH3" i="3" s="1"/>
  <c r="BH44" i="3" s="1"/>
  <c r="BH79" i="3" s="1"/>
  <c r="BH83" i="3" s="1"/>
  <c r="BL3" i="3" s="1"/>
  <c r="BL44" i="3" s="1"/>
  <c r="BL79" i="3" s="1"/>
  <c r="BL83" i="3" s="1"/>
  <c r="BP3" i="3" s="1"/>
  <c r="BP44" i="3" s="1"/>
  <c r="BP79" i="3" s="1"/>
  <c r="BP83" i="3" s="1"/>
  <c r="BT3" i="3" s="1"/>
  <c r="BT44" i="3" s="1"/>
  <c r="BT79" i="3" s="1"/>
  <c r="BT83" i="3" s="1"/>
  <c r="S44" i="3"/>
  <c r="S79" i="3" s="1"/>
  <c r="S81" i="3" s="1"/>
  <c r="S83" i="3" s="1"/>
  <c r="W3" i="3" s="1"/>
  <c r="W44" i="3" l="1"/>
  <c r="W79" i="3" s="1"/>
  <c r="W81" i="3" s="1"/>
  <c r="W83" i="3" s="1"/>
  <c r="AA3" i="3" s="1"/>
  <c r="AA44" i="3" s="1"/>
  <c r="AA79" i="3" s="1"/>
  <c r="AA81" i="3" s="1"/>
  <c r="AA83" i="3" s="1"/>
  <c r="AE3" i="3" s="1"/>
  <c r="AE44" i="3" s="1"/>
  <c r="AE79" i="3" s="1"/>
  <c r="AE81" i="3" s="1"/>
  <c r="AE83" i="3" s="1"/>
  <c r="AI3" i="3" s="1"/>
  <c r="AI44" i="3" s="1"/>
  <c r="AI79" i="3" s="1"/>
  <c r="AI81" i="3" s="1"/>
  <c r="AI83" i="3" s="1"/>
  <c r="AM3" i="3" s="1"/>
  <c r="AM44" i="3" s="1"/>
  <c r="AM79" i="3" s="1"/>
  <c r="AM81" i="3" s="1"/>
  <c r="AM83" i="3" s="1"/>
  <c r="AQ3" i="3" s="1"/>
  <c r="AQ44" i="3" s="1"/>
  <c r="AQ79" i="3" s="1"/>
  <c r="AQ81" i="3" s="1"/>
  <c r="AQ83" i="3" s="1"/>
  <c r="AU3" i="3" s="1"/>
  <c r="AU44" i="3" s="1"/>
  <c r="AU79" i="3" s="1"/>
  <c r="AU81" i="3" s="1"/>
  <c r="AU83" i="3" s="1"/>
  <c r="AY3" i="3" s="1"/>
  <c r="AY44" i="3" s="1"/>
  <c r="AY79" i="3" s="1"/>
  <c r="AY81" i="3" l="1"/>
  <c r="AY83" i="3" s="1"/>
  <c r="BC3" i="3" s="1"/>
  <c r="BC44" i="3" s="1"/>
  <c r="BC79" i="3" s="1"/>
  <c r="BC81" i="3" s="1"/>
  <c r="BC83" i="3" s="1"/>
  <c r="BG3" i="3" s="1"/>
  <c r="BG44" i="3" s="1"/>
  <c r="BG79" i="3" s="1"/>
  <c r="BG81" i="3" s="1"/>
  <c r="BG83" i="3" s="1"/>
  <c r="BK3" i="3" s="1"/>
  <c r="BK44" i="3" s="1"/>
  <c r="BK79" i="3" s="1"/>
  <c r="BK81" i="3" s="1"/>
  <c r="BK83" i="3" s="1"/>
  <c r="BO3" i="3" s="1"/>
  <c r="BO44" i="3" s="1"/>
  <c r="BO79" i="3" s="1"/>
  <c r="BO81" i="3" s="1"/>
  <c r="BO83" i="3" s="1"/>
  <c r="BS3" i="3" s="1"/>
  <c r="BS44" i="3" s="1"/>
  <c r="BS79" i="3" s="1"/>
  <c r="BS81" i="3" s="1"/>
  <c r="BS83" i="3" s="1"/>
</calcChain>
</file>

<file path=xl/sharedStrings.xml><?xml version="1.0" encoding="utf-8"?>
<sst xmlns="http://schemas.openxmlformats.org/spreadsheetml/2006/main" count="2161" uniqueCount="835">
  <si>
    <t>C</t>
  </si>
  <si>
    <t>P</t>
  </si>
  <si>
    <t>T</t>
  </si>
  <si>
    <t>V</t>
  </si>
  <si>
    <t>Ending Amount</t>
  </si>
  <si>
    <t>Spoilage</t>
  </si>
  <si>
    <t>Orders</t>
  </si>
  <si>
    <t>Military</t>
  </si>
  <si>
    <t>Other Sources</t>
  </si>
  <si>
    <t>Production</t>
  </si>
  <si>
    <t>Gold</t>
  </si>
  <si>
    <t>Food</t>
  </si>
  <si>
    <t>Treasury</t>
  </si>
  <si>
    <t>Turn</t>
  </si>
  <si>
    <t>Squares</t>
  </si>
  <si>
    <t>Total</t>
  </si>
  <si>
    <t>Known</t>
  </si>
  <si>
    <t>EL</t>
  </si>
  <si>
    <t>DW</t>
  </si>
  <si>
    <t>WI</t>
  </si>
  <si>
    <t>GN</t>
  </si>
  <si>
    <t>TR</t>
  </si>
  <si>
    <t>WA</t>
  </si>
  <si>
    <t>BL</t>
  </si>
  <si>
    <t>RA</t>
  </si>
  <si>
    <t>SO</t>
  </si>
  <si>
    <t>Br</t>
  </si>
  <si>
    <t>Available</t>
  </si>
  <si>
    <t>Exploring</t>
  </si>
  <si>
    <t>PC Found</t>
  </si>
  <si>
    <t>Unexpl</t>
  </si>
  <si>
    <t>No PC</t>
  </si>
  <si>
    <t>After Orders</t>
  </si>
  <si>
    <t>S1</t>
  </si>
  <si>
    <t>S2</t>
  </si>
  <si>
    <t>S3</t>
  </si>
  <si>
    <t>S4</t>
  </si>
  <si>
    <t>AN</t>
  </si>
  <si>
    <t>DA</t>
  </si>
  <si>
    <t>DE</t>
  </si>
  <si>
    <t>GI</t>
  </si>
  <si>
    <t>RD</t>
  </si>
  <si>
    <t>UN</t>
  </si>
  <si>
    <t>Legend</t>
  </si>
  <si>
    <t>Owned</t>
  </si>
  <si>
    <t>Expl</t>
  </si>
  <si>
    <t>Neutral</t>
  </si>
  <si>
    <t>#</t>
  </si>
  <si>
    <t>Rival</t>
  </si>
  <si>
    <t>S5</t>
  </si>
  <si>
    <t>S6</t>
  </si>
  <si>
    <t>S7</t>
  </si>
  <si>
    <t xml:space="preserve"># </t>
  </si>
  <si>
    <t>Game</t>
  </si>
  <si>
    <t>US</t>
  </si>
  <si>
    <t>US c</t>
  </si>
  <si>
    <t>V an</t>
  </si>
  <si>
    <t>D an</t>
  </si>
  <si>
    <t>2AN</t>
  </si>
  <si>
    <t>Brigade Type</t>
  </si>
  <si>
    <t>Recruits</t>
  </si>
  <si>
    <t>Kingdom</t>
  </si>
  <si>
    <t>Enter Brigade types &amp; costs from Set-up</t>
  </si>
  <si>
    <t>Capital</t>
  </si>
  <si>
    <t>Town</t>
  </si>
  <si>
    <t>Village</t>
  </si>
  <si>
    <t>Tc an</t>
  </si>
  <si>
    <t>L2 an</t>
  </si>
  <si>
    <t>Instructions</t>
  </si>
  <si>
    <t>PCs(V/T/C), Unusual Sightings(US) and Portals(P) should be noted in the center space of a square.</t>
  </si>
  <si>
    <t>Groups &amp; emissaries should be noted in the eight spaces on the edges of a square.</t>
  </si>
  <si>
    <t>Squares without a PC should be noted with a '#', which will show as red.  If the square is also without a US, follow the '#' with a space(' ') to make it show as black.</t>
  </si>
  <si>
    <t>A capital is designated by a 'c' after the PC type(V/T/C)</t>
  </si>
  <si>
    <t>Ownership of a PC, Group or Emissary should be noted by including the two-letter kingdom abbreviation.</t>
  </si>
  <si>
    <t>Points</t>
  </si>
  <si>
    <t>Record Type</t>
  </si>
  <si>
    <t>Data Source</t>
  </si>
  <si>
    <t>Map Location</t>
  </si>
  <si>
    <t>Name</t>
  </si>
  <si>
    <t>Region</t>
  </si>
  <si>
    <t>Type</t>
  </si>
  <si>
    <t>Defense</t>
  </si>
  <si>
    <t>Census</t>
  </si>
  <si>
    <t>Other</t>
  </si>
  <si>
    <t>JC</t>
  </si>
  <si>
    <t>NA</t>
  </si>
  <si>
    <t>MN</t>
  </si>
  <si>
    <t>TA</t>
  </si>
  <si>
    <t>Influence</t>
  </si>
  <si>
    <t>Rank</t>
  </si>
  <si>
    <t>Group</t>
  </si>
  <si>
    <t>Size</t>
  </si>
  <si>
    <t>Short</t>
  </si>
  <si>
    <t>Number</t>
  </si>
  <si>
    <t>Reaction</t>
  </si>
  <si>
    <t>Controller</t>
  </si>
  <si>
    <t>LN</t>
  </si>
  <si>
    <t>QH</t>
  </si>
  <si>
    <t>VU</t>
  </si>
  <si>
    <t>XR</t>
  </si>
  <si>
    <t>HS</t>
  </si>
  <si>
    <t>NS</t>
  </si>
  <si>
    <t>UZ</t>
  </si>
  <si>
    <t>XO</t>
  </si>
  <si>
    <t>JZ</t>
  </si>
  <si>
    <t>MX</t>
  </si>
  <si>
    <t>QS</t>
  </si>
  <si>
    <t>NE</t>
  </si>
  <si>
    <t>TZ</t>
  </si>
  <si>
    <t>TV</t>
  </si>
  <si>
    <t>UH</t>
  </si>
  <si>
    <t>UW</t>
  </si>
  <si>
    <t>VV</t>
  </si>
  <si>
    <t>WL</t>
  </si>
  <si>
    <t>WO</t>
  </si>
  <si>
    <t>WS</t>
  </si>
  <si>
    <t>XG</t>
  </si>
  <si>
    <t>XM</t>
  </si>
  <si>
    <t>XS</t>
  </si>
  <si>
    <t>YJ</t>
  </si>
  <si>
    <t>YU</t>
  </si>
  <si>
    <t>VANASHEEN</t>
  </si>
  <si>
    <t>CITY</t>
  </si>
  <si>
    <t>ZG</t>
  </si>
  <si>
    <t>ZM</t>
  </si>
  <si>
    <t>ZP</t>
  </si>
  <si>
    <t>OP</t>
  </si>
  <si>
    <t>HU</t>
  </si>
  <si>
    <t>ZARATHON</t>
  </si>
  <si>
    <t>QO</t>
  </si>
  <si>
    <t>RL</t>
  </si>
  <si>
    <t>SM</t>
  </si>
  <si>
    <t>TK</t>
  </si>
  <si>
    <t>TP</t>
  </si>
  <si>
    <t>TT</t>
  </si>
  <si>
    <t>UM</t>
  </si>
  <si>
    <t>ESTERIA VALE</t>
  </si>
  <si>
    <t>VP</t>
  </si>
  <si>
    <t>OR</t>
  </si>
  <si>
    <t>OV</t>
  </si>
  <si>
    <t>JUKANTA</t>
  </si>
  <si>
    <t>OY</t>
  </si>
  <si>
    <t>QV</t>
  </si>
  <si>
    <t>QY</t>
  </si>
  <si>
    <t>VY</t>
  </si>
  <si>
    <t>WX</t>
  </si>
  <si>
    <t>XL</t>
  </si>
  <si>
    <t>XV</t>
  </si>
  <si>
    <t>YO</t>
  </si>
  <si>
    <t>YX</t>
  </si>
  <si>
    <t>RP</t>
  </si>
  <si>
    <t>SP</t>
  </si>
  <si>
    <t>UJ</t>
  </si>
  <si>
    <t>NZ</t>
  </si>
  <si>
    <t>PE</t>
  </si>
  <si>
    <t>MO</t>
  </si>
  <si>
    <t>NW</t>
  </si>
  <si>
    <t>SS</t>
  </si>
  <si>
    <t>TX</t>
  </si>
  <si>
    <t>QF</t>
  </si>
  <si>
    <t>SF</t>
  </si>
  <si>
    <t>SG</t>
  </si>
  <si>
    <t>TB</t>
  </si>
  <si>
    <t>TE</t>
  </si>
  <si>
    <t>UA</t>
  </si>
  <si>
    <t>UD</t>
  </si>
  <si>
    <t>VB</t>
  </si>
  <si>
    <t>VE</t>
  </si>
  <si>
    <t>YA</t>
  </si>
  <si>
    <t>YD</t>
  </si>
  <si>
    <t>YE</t>
  </si>
  <si>
    <t>ZB</t>
  </si>
  <si>
    <t>PN</t>
  </si>
  <si>
    <t>RG</t>
  </si>
  <si>
    <t>SI</t>
  </si>
  <si>
    <t>KY</t>
  </si>
  <si>
    <t>LX</t>
  </si>
  <si>
    <t>HH</t>
  </si>
  <si>
    <t>HJ</t>
  </si>
  <si>
    <t>HK</t>
  </si>
  <si>
    <t>HO</t>
  </si>
  <si>
    <t>II</t>
  </si>
  <si>
    <t>IN</t>
  </si>
  <si>
    <t>JJ</t>
  </si>
  <si>
    <t>JO</t>
  </si>
  <si>
    <t>KO</t>
  </si>
  <si>
    <t>LI</t>
  </si>
  <si>
    <t>LK</t>
  </si>
  <si>
    <t>ML</t>
  </si>
  <si>
    <t>NK</t>
  </si>
  <si>
    <t>PK</t>
  </si>
  <si>
    <t>ID</t>
  </si>
  <si>
    <t>IG</t>
  </si>
  <si>
    <t>JF</t>
  </si>
  <si>
    <t>KA</t>
  </si>
  <si>
    <t>KE</t>
  </si>
  <si>
    <t>LB</t>
  </si>
  <si>
    <t>MC</t>
  </si>
  <si>
    <t>MG</t>
  </si>
  <si>
    <t>NB</t>
  </si>
  <si>
    <t>NF</t>
  </si>
  <si>
    <t>OA</t>
  </si>
  <si>
    <t>OI</t>
  </si>
  <si>
    <t>QC</t>
  </si>
  <si>
    <t>SA</t>
  </si>
  <si>
    <t>IQ</t>
  </si>
  <si>
    <t>IV</t>
  </si>
  <si>
    <t>JR</t>
  </si>
  <si>
    <t>JS</t>
  </si>
  <si>
    <t>JW</t>
  </si>
  <si>
    <t>KQ</t>
  </si>
  <si>
    <t>KU</t>
  </si>
  <si>
    <t>LS</t>
  </si>
  <si>
    <t>LT</t>
  </si>
  <si>
    <t>MS</t>
  </si>
  <si>
    <t>PR</t>
  </si>
  <si>
    <t>WM</t>
  </si>
  <si>
    <t>WR</t>
  </si>
  <si>
    <t>RO</t>
  </si>
  <si>
    <t>VG</t>
  </si>
  <si>
    <t>XK</t>
  </si>
  <si>
    <t>VK</t>
  </si>
  <si>
    <t>UT</t>
  </si>
  <si>
    <t>UO</t>
  </si>
  <si>
    <t>VJ</t>
  </si>
  <si>
    <t>TJ</t>
  </si>
  <si>
    <t>UP</t>
  </si>
  <si>
    <t>PM</t>
  </si>
  <si>
    <t>SK</t>
  </si>
  <si>
    <t>UU</t>
  </si>
  <si>
    <t>WF</t>
  </si>
  <si>
    <t>NU</t>
  </si>
  <si>
    <t>NY</t>
  </si>
  <si>
    <t>RW</t>
  </si>
  <si>
    <t>RY</t>
  </si>
  <si>
    <t>PW</t>
  </si>
  <si>
    <t>QX</t>
  </si>
  <si>
    <t>XE</t>
  </si>
  <si>
    <t>KG</t>
  </si>
  <si>
    <t>NG</t>
  </si>
  <si>
    <t>RX</t>
  </si>
  <si>
    <t>RF</t>
  </si>
  <si>
    <t>OF</t>
  </si>
  <si>
    <t>Holder</t>
  </si>
  <si>
    <t>Default</t>
  </si>
  <si>
    <t>CD</t>
  </si>
  <si>
    <t>DK</t>
  </si>
  <si>
    <t>CU</t>
  </si>
  <si>
    <t>LORETHANE</t>
  </si>
  <si>
    <t>VIPERHEAD</t>
  </si>
  <si>
    <t>HAMMERHOLD</t>
  </si>
  <si>
    <t>MERIDON</t>
  </si>
  <si>
    <t>AVALON</t>
  </si>
  <si>
    <t>EVANON</t>
  </si>
  <si>
    <t>GUNDIBAR</t>
  </si>
  <si>
    <t>CRADIA</t>
  </si>
  <si>
    <t>Square</t>
  </si>
  <si>
    <t>PC</t>
  </si>
  <si>
    <t>EM 1</t>
  </si>
  <si>
    <t>EM 2</t>
  </si>
  <si>
    <t>EM 3</t>
  </si>
  <si>
    <t>EM 4</t>
  </si>
  <si>
    <t>EM 5</t>
  </si>
  <si>
    <t>GR 1</t>
  </si>
  <si>
    <t>GR 2</t>
  </si>
  <si>
    <t>GR 3</t>
  </si>
  <si>
    <t>AA</t>
  </si>
  <si>
    <t>AB</t>
  </si>
  <si>
    <t>AC</t>
  </si>
  <si>
    <t>AD</t>
  </si>
  <si>
    <t>AE</t>
  </si>
  <si>
    <t>AF</t>
  </si>
  <si>
    <t>AG</t>
  </si>
  <si>
    <t>AH</t>
  </si>
  <si>
    <t>AI</t>
  </si>
  <si>
    <t>AJ</t>
  </si>
  <si>
    <t>AK</t>
  </si>
  <si>
    <t>AL</t>
  </si>
  <si>
    <t>AM</t>
  </si>
  <si>
    <t>AO</t>
  </si>
  <si>
    <t>AP</t>
  </si>
  <si>
    <t>AQ</t>
  </si>
  <si>
    <t>AR</t>
  </si>
  <si>
    <t>AS</t>
  </si>
  <si>
    <t>AT</t>
  </si>
  <si>
    <t>AU</t>
  </si>
  <si>
    <t>AV</t>
  </si>
  <si>
    <t>AW</t>
  </si>
  <si>
    <t>AX</t>
  </si>
  <si>
    <t>AY</t>
  </si>
  <si>
    <t>AZ</t>
  </si>
  <si>
    <t>BA</t>
  </si>
  <si>
    <t>BB</t>
  </si>
  <si>
    <t>BC</t>
  </si>
  <si>
    <t>BD</t>
  </si>
  <si>
    <t>BE</t>
  </si>
  <si>
    <t>BF</t>
  </si>
  <si>
    <t>BG</t>
  </si>
  <si>
    <t>BH</t>
  </si>
  <si>
    <t>BI</t>
  </si>
  <si>
    <t>BJ</t>
  </si>
  <si>
    <t>BK</t>
  </si>
  <si>
    <t>BM</t>
  </si>
  <si>
    <t>BN</t>
  </si>
  <si>
    <t>BO</t>
  </si>
  <si>
    <t>BP</t>
  </si>
  <si>
    <t>BQ</t>
  </si>
  <si>
    <t>BR</t>
  </si>
  <si>
    <t>BS</t>
  </si>
  <si>
    <t>BT</t>
  </si>
  <si>
    <t>BU</t>
  </si>
  <si>
    <t>BV</t>
  </si>
  <si>
    <t>BW</t>
  </si>
  <si>
    <t>BX</t>
  </si>
  <si>
    <t>BY</t>
  </si>
  <si>
    <t>BZ</t>
  </si>
  <si>
    <t>CA</t>
  </si>
  <si>
    <t>CB</t>
  </si>
  <si>
    <t>CC</t>
  </si>
  <si>
    <t>CE</t>
  </si>
  <si>
    <t>CF</t>
  </si>
  <si>
    <t>CG</t>
  </si>
  <si>
    <t>CH</t>
  </si>
  <si>
    <t>CI</t>
  </si>
  <si>
    <t>CJ</t>
  </si>
  <si>
    <t>CK</t>
  </si>
  <si>
    <t>CL</t>
  </si>
  <si>
    <t>CM</t>
  </si>
  <si>
    <t>CN</t>
  </si>
  <si>
    <t>CO</t>
  </si>
  <si>
    <t>CP</t>
  </si>
  <si>
    <t>CQ</t>
  </si>
  <si>
    <t>CR</t>
  </si>
  <si>
    <t>CS</t>
  </si>
  <si>
    <t>CT</t>
  </si>
  <si>
    <t>CV</t>
  </si>
  <si>
    <t>CW</t>
  </si>
  <si>
    <t>CX</t>
  </si>
  <si>
    <t>CY</t>
  </si>
  <si>
    <t>CZ</t>
  </si>
  <si>
    <t>DB</t>
  </si>
  <si>
    <t>DC</t>
  </si>
  <si>
    <t>DD</t>
  </si>
  <si>
    <t>DF</t>
  </si>
  <si>
    <t>DG</t>
  </si>
  <si>
    <t>DH</t>
  </si>
  <si>
    <t>DI</t>
  </si>
  <si>
    <t>DJ</t>
  </si>
  <si>
    <t>DL</t>
  </si>
  <si>
    <t>DM</t>
  </si>
  <si>
    <t>DN</t>
  </si>
  <si>
    <t>DO</t>
  </si>
  <si>
    <t>DP</t>
  </si>
  <si>
    <t>DQ</t>
  </si>
  <si>
    <t>DR</t>
  </si>
  <si>
    <t>DS</t>
  </si>
  <si>
    <t>DT</t>
  </si>
  <si>
    <t>DU</t>
  </si>
  <si>
    <t>DV</t>
  </si>
  <si>
    <t>DX</t>
  </si>
  <si>
    <t>DY</t>
  </si>
  <si>
    <t>DZ</t>
  </si>
  <si>
    <t>EA</t>
  </si>
  <si>
    <t>EB</t>
  </si>
  <si>
    <t>EC</t>
  </si>
  <si>
    <t>ED</t>
  </si>
  <si>
    <t>EE</t>
  </si>
  <si>
    <t>EF</t>
  </si>
  <si>
    <t>EG</t>
  </si>
  <si>
    <t>EH</t>
  </si>
  <si>
    <t>EI</t>
  </si>
  <si>
    <t>EJ</t>
  </si>
  <si>
    <t>EK</t>
  </si>
  <si>
    <t>EM</t>
  </si>
  <si>
    <t>EN</t>
  </si>
  <si>
    <t>EO</t>
  </si>
  <si>
    <t>EP</t>
  </si>
  <si>
    <t>EQ</t>
  </si>
  <si>
    <t>ER</t>
  </si>
  <si>
    <t>ES</t>
  </si>
  <si>
    <t>ET</t>
  </si>
  <si>
    <t>EU</t>
  </si>
  <si>
    <t>EV</t>
  </si>
  <si>
    <t>EW</t>
  </si>
  <si>
    <t>EX</t>
  </si>
  <si>
    <t>EY</t>
  </si>
  <si>
    <t>EZ</t>
  </si>
  <si>
    <t>FA</t>
  </si>
  <si>
    <t>FB</t>
  </si>
  <si>
    <t>FC</t>
  </si>
  <si>
    <t>FD</t>
  </si>
  <si>
    <t>FE</t>
  </si>
  <si>
    <t>FF</t>
  </si>
  <si>
    <t>FG</t>
  </si>
  <si>
    <t>FH</t>
  </si>
  <si>
    <t>FI</t>
  </si>
  <si>
    <t>FJ</t>
  </si>
  <si>
    <t>FK</t>
  </si>
  <si>
    <t>FL</t>
  </si>
  <si>
    <t>FM</t>
  </si>
  <si>
    <t>FN</t>
  </si>
  <si>
    <t>FO</t>
  </si>
  <si>
    <t>FP</t>
  </si>
  <si>
    <t>FQ</t>
  </si>
  <si>
    <t>FR</t>
  </si>
  <si>
    <t>FS</t>
  </si>
  <si>
    <t>FT</t>
  </si>
  <si>
    <t>FU</t>
  </si>
  <si>
    <t>FV</t>
  </si>
  <si>
    <t>FW</t>
  </si>
  <si>
    <t>FX</t>
  </si>
  <si>
    <t>FY</t>
  </si>
  <si>
    <t>FZ</t>
  </si>
  <si>
    <t>GA</t>
  </si>
  <si>
    <t>GB</t>
  </si>
  <si>
    <t>GC</t>
  </si>
  <si>
    <t>GD</t>
  </si>
  <si>
    <t>GE</t>
  </si>
  <si>
    <t>GF</t>
  </si>
  <si>
    <t>GG</t>
  </si>
  <si>
    <t>GH</t>
  </si>
  <si>
    <t>GJ</t>
  </si>
  <si>
    <t>GK</t>
  </si>
  <si>
    <t>GL</t>
  </si>
  <si>
    <t>GM</t>
  </si>
  <si>
    <t>GO</t>
  </si>
  <si>
    <t>GP</t>
  </si>
  <si>
    <t>GQ</t>
  </si>
  <si>
    <t>GR</t>
  </si>
  <si>
    <t>GS</t>
  </si>
  <si>
    <t>GT</t>
  </si>
  <si>
    <t>GU</t>
  </si>
  <si>
    <t>GV</t>
  </si>
  <si>
    <t>GW</t>
  </si>
  <si>
    <t>GX</t>
  </si>
  <si>
    <t>GY</t>
  </si>
  <si>
    <t>GZ</t>
  </si>
  <si>
    <t>HA</t>
  </si>
  <si>
    <t>HB</t>
  </si>
  <si>
    <t>HC</t>
  </si>
  <si>
    <t>HD</t>
  </si>
  <si>
    <t>HE</t>
  </si>
  <si>
    <t>HF</t>
  </si>
  <si>
    <t>HG</t>
  </si>
  <si>
    <t>HI</t>
  </si>
  <si>
    <t>HL</t>
  </si>
  <si>
    <t>HM</t>
  </si>
  <si>
    <t>HN</t>
  </si>
  <si>
    <t>HP</t>
  </si>
  <si>
    <t>HQ</t>
  </si>
  <si>
    <t>HR</t>
  </si>
  <si>
    <t>HT</t>
  </si>
  <si>
    <t>HV</t>
  </si>
  <si>
    <t>HW</t>
  </si>
  <si>
    <t>HX</t>
  </si>
  <si>
    <t>HY</t>
  </si>
  <si>
    <t>HZ</t>
  </si>
  <si>
    <t>IA</t>
  </si>
  <si>
    <t>IB</t>
  </si>
  <si>
    <t>IC</t>
  </si>
  <si>
    <t>IE</t>
  </si>
  <si>
    <t>IF</t>
  </si>
  <si>
    <t>IH</t>
  </si>
  <si>
    <t>IJ</t>
  </si>
  <si>
    <t>IK</t>
  </si>
  <si>
    <t>IL</t>
  </si>
  <si>
    <t>IM</t>
  </si>
  <si>
    <t>IO</t>
  </si>
  <si>
    <t>IP</t>
  </si>
  <si>
    <t>IR</t>
  </si>
  <si>
    <t>IS</t>
  </si>
  <si>
    <t>IT</t>
  </si>
  <si>
    <t>IU</t>
  </si>
  <si>
    <t>IW</t>
  </si>
  <si>
    <t>IX</t>
  </si>
  <si>
    <t>IY</t>
  </si>
  <si>
    <t>IZ</t>
  </si>
  <si>
    <t>JA</t>
  </si>
  <si>
    <t>JB</t>
  </si>
  <si>
    <t>JD</t>
  </si>
  <si>
    <t>JE</t>
  </si>
  <si>
    <t>JG</t>
  </si>
  <si>
    <t>JH</t>
  </si>
  <si>
    <t>JI</t>
  </si>
  <si>
    <t>JK</t>
  </si>
  <si>
    <t>JL</t>
  </si>
  <si>
    <t>JM</t>
  </si>
  <si>
    <t>JN</t>
  </si>
  <si>
    <t>JP</t>
  </si>
  <si>
    <t>JQ</t>
  </si>
  <si>
    <t>JT</t>
  </si>
  <si>
    <t>JU</t>
  </si>
  <si>
    <t>JV</t>
  </si>
  <si>
    <t>JX</t>
  </si>
  <si>
    <t>JY</t>
  </si>
  <si>
    <t>KB</t>
  </si>
  <si>
    <t>KC</t>
  </si>
  <si>
    <t>KD</t>
  </si>
  <si>
    <t>KF</t>
  </si>
  <si>
    <t>KH</t>
  </si>
  <si>
    <t>KI</t>
  </si>
  <si>
    <t>KJ</t>
  </si>
  <si>
    <t>KK</t>
  </si>
  <si>
    <t>KL</t>
  </si>
  <si>
    <t>KM</t>
  </si>
  <si>
    <t>KN</t>
  </si>
  <si>
    <t>KP</t>
  </si>
  <si>
    <t>KR</t>
  </si>
  <si>
    <t>KS</t>
  </si>
  <si>
    <t>KT</t>
  </si>
  <si>
    <t>KV</t>
  </si>
  <si>
    <t>KW</t>
  </si>
  <si>
    <t>KX</t>
  </si>
  <si>
    <t>KZ</t>
  </si>
  <si>
    <t>LA</t>
  </si>
  <si>
    <t>LC</t>
  </si>
  <si>
    <t>LD</t>
  </si>
  <si>
    <t>LE</t>
  </si>
  <si>
    <t>LF</t>
  </si>
  <si>
    <t>LG</t>
  </si>
  <si>
    <t>LH</t>
  </si>
  <si>
    <t>LJ</t>
  </si>
  <si>
    <t>LL</t>
  </si>
  <si>
    <t>LM</t>
  </si>
  <si>
    <t>LO</t>
  </si>
  <si>
    <t>LP</t>
  </si>
  <si>
    <t>LQ</t>
  </si>
  <si>
    <t>LR</t>
  </si>
  <si>
    <t>LU</t>
  </si>
  <si>
    <t>LV</t>
  </si>
  <si>
    <t>LW</t>
  </si>
  <si>
    <t>LY</t>
  </si>
  <si>
    <t>LZ</t>
  </si>
  <si>
    <t>MA</t>
  </si>
  <si>
    <t>MB</t>
  </si>
  <si>
    <t>MD</t>
  </si>
  <si>
    <t>ME</t>
  </si>
  <si>
    <t>MF</t>
  </si>
  <si>
    <t>MH</t>
  </si>
  <si>
    <t>MI</t>
  </si>
  <si>
    <t>MJ</t>
  </si>
  <si>
    <t>MK</t>
  </si>
  <si>
    <t>MM</t>
  </si>
  <si>
    <t>MP</t>
  </si>
  <si>
    <t>MQ</t>
  </si>
  <si>
    <t>MR</t>
  </si>
  <si>
    <t>MT</t>
  </si>
  <si>
    <t>MU</t>
  </si>
  <si>
    <t>MV</t>
  </si>
  <si>
    <t>MW</t>
  </si>
  <si>
    <t>MY</t>
  </si>
  <si>
    <t>MZ</t>
  </si>
  <si>
    <t>NC</t>
  </si>
  <si>
    <t>ND</t>
  </si>
  <si>
    <t>NH</t>
  </si>
  <si>
    <t>NI</t>
  </si>
  <si>
    <t>NJ</t>
  </si>
  <si>
    <t>NL</t>
  </si>
  <si>
    <t>NM</t>
  </si>
  <si>
    <t>NN</t>
  </si>
  <si>
    <t>NO</t>
  </si>
  <si>
    <t>NP</t>
  </si>
  <si>
    <t>NQ</t>
  </si>
  <si>
    <t>NR</t>
  </si>
  <si>
    <t>NT</t>
  </si>
  <si>
    <t>NV</t>
  </si>
  <si>
    <t>NX</t>
  </si>
  <si>
    <t>OB</t>
  </si>
  <si>
    <t>OC</t>
  </si>
  <si>
    <t>OD</t>
  </si>
  <si>
    <t>OE</t>
  </si>
  <si>
    <t>OG</t>
  </si>
  <si>
    <t>OH</t>
  </si>
  <si>
    <t>OJ</t>
  </si>
  <si>
    <t>OK</t>
  </si>
  <si>
    <t>OL</t>
  </si>
  <si>
    <t>OM</t>
  </si>
  <si>
    <t>ON</t>
  </si>
  <si>
    <t>OO</t>
  </si>
  <si>
    <t>OQ</t>
  </si>
  <si>
    <t>OS</t>
  </si>
  <si>
    <t>OT</t>
  </si>
  <si>
    <t>OU</t>
  </si>
  <si>
    <t>OW</t>
  </si>
  <si>
    <t>OX</t>
  </si>
  <si>
    <t>OZ</t>
  </si>
  <si>
    <t>PA</t>
  </si>
  <si>
    <t>PB</t>
  </si>
  <si>
    <t>PD</t>
  </si>
  <si>
    <t>PF</t>
  </si>
  <si>
    <t>PG</t>
  </si>
  <si>
    <t>PH</t>
  </si>
  <si>
    <t>PI</t>
  </si>
  <si>
    <t>PJ</t>
  </si>
  <si>
    <t>PL</t>
  </si>
  <si>
    <t>PO</t>
  </si>
  <si>
    <t>PP</t>
  </si>
  <si>
    <t>PQ</t>
  </si>
  <si>
    <t>PS</t>
  </si>
  <si>
    <t>PT</t>
  </si>
  <si>
    <t>PU</t>
  </si>
  <si>
    <t>PV</t>
  </si>
  <si>
    <t>PX</t>
  </si>
  <si>
    <t>PY</t>
  </si>
  <si>
    <t>PZ</t>
  </si>
  <si>
    <t>QA</t>
  </si>
  <si>
    <t>QB</t>
  </si>
  <si>
    <t>QD</t>
  </si>
  <si>
    <t>QE</t>
  </si>
  <si>
    <t>QG</t>
  </si>
  <si>
    <t>QI</t>
  </si>
  <si>
    <t>QJ</t>
  </si>
  <si>
    <t>QK</t>
  </si>
  <si>
    <t>QL</t>
  </si>
  <si>
    <t>QM</t>
  </si>
  <si>
    <t>QN</t>
  </si>
  <si>
    <t>QP</t>
  </si>
  <si>
    <t>QQ</t>
  </si>
  <si>
    <t>QR</t>
  </si>
  <si>
    <t>QT</t>
  </si>
  <si>
    <t>QU</t>
  </si>
  <si>
    <t>QW</t>
  </si>
  <si>
    <t>QZ</t>
  </si>
  <si>
    <t>RB</t>
  </si>
  <si>
    <t>RC</t>
  </si>
  <si>
    <t>RE</t>
  </si>
  <si>
    <t>RH</t>
  </si>
  <si>
    <t>RI</t>
  </si>
  <si>
    <t>RJ</t>
  </si>
  <si>
    <t>RK</t>
  </si>
  <si>
    <t>RM</t>
  </si>
  <si>
    <t>RN</t>
  </si>
  <si>
    <t>RQ</t>
  </si>
  <si>
    <t>RR</t>
  </si>
  <si>
    <t>RS</t>
  </si>
  <si>
    <t>RT</t>
  </si>
  <si>
    <t>RU</t>
  </si>
  <si>
    <t>RV</t>
  </si>
  <si>
    <t>RZ</t>
  </si>
  <si>
    <t>SB</t>
  </si>
  <si>
    <t>SC</t>
  </si>
  <si>
    <t>SD</t>
  </si>
  <si>
    <t>SE</t>
  </si>
  <si>
    <t>SH</t>
  </si>
  <si>
    <t>SJ</t>
  </si>
  <si>
    <t>SL</t>
  </si>
  <si>
    <t>SN</t>
  </si>
  <si>
    <t>SQ</t>
  </si>
  <si>
    <t>SR</t>
  </si>
  <si>
    <t>ST</t>
  </si>
  <si>
    <t>SU</t>
  </si>
  <si>
    <t>SV</t>
  </si>
  <si>
    <t>SW</t>
  </si>
  <si>
    <t>SX</t>
  </si>
  <si>
    <t>SY</t>
  </si>
  <si>
    <t>SZ</t>
  </si>
  <si>
    <t>TC</t>
  </si>
  <si>
    <t>TD</t>
  </si>
  <si>
    <t>TF</t>
  </si>
  <si>
    <t>TG</t>
  </si>
  <si>
    <t>TH</t>
  </si>
  <si>
    <t>TI</t>
  </si>
  <si>
    <t>TL</t>
  </si>
  <si>
    <t>TM</t>
  </si>
  <si>
    <t>TN</t>
  </si>
  <si>
    <t>TO</t>
  </si>
  <si>
    <t>TQ</t>
  </si>
  <si>
    <t>TS</t>
  </si>
  <si>
    <t>TU</t>
  </si>
  <si>
    <t>TW</t>
  </si>
  <si>
    <t>TY</t>
  </si>
  <si>
    <t>UB</t>
  </si>
  <si>
    <t>UC</t>
  </si>
  <si>
    <t>UE</t>
  </si>
  <si>
    <t>UF</t>
  </si>
  <si>
    <t>UG</t>
  </si>
  <si>
    <t>UI</t>
  </si>
  <si>
    <t>UK</t>
  </si>
  <si>
    <t>UL</t>
  </si>
  <si>
    <t>UQ</t>
  </si>
  <si>
    <t>UR</t>
  </si>
  <si>
    <t>UV</t>
  </si>
  <si>
    <t>UX</t>
  </si>
  <si>
    <t>UY</t>
  </si>
  <si>
    <t>VA</t>
  </si>
  <si>
    <t>VC</t>
  </si>
  <si>
    <t>VD</t>
  </si>
  <si>
    <t>VF</t>
  </si>
  <si>
    <t>VH</t>
  </si>
  <si>
    <t>VI</t>
  </si>
  <si>
    <t>VL</t>
  </si>
  <si>
    <t>VM</t>
  </si>
  <si>
    <t>VN</t>
  </si>
  <si>
    <t>VO</t>
  </si>
  <si>
    <t>VQ</t>
  </si>
  <si>
    <t>VR</t>
  </si>
  <si>
    <t>VS</t>
  </si>
  <si>
    <t>VT</t>
  </si>
  <si>
    <t>VW</t>
  </si>
  <si>
    <t>VX</t>
  </si>
  <si>
    <t>VZ</t>
  </si>
  <si>
    <t>WB</t>
  </si>
  <si>
    <t>WC</t>
  </si>
  <si>
    <t>WD</t>
  </si>
  <si>
    <t>WE</t>
  </si>
  <si>
    <t>WG</t>
  </si>
  <si>
    <t>WH</t>
  </si>
  <si>
    <t>WJ</t>
  </si>
  <si>
    <t>WK</t>
  </si>
  <si>
    <t>WN</t>
  </si>
  <si>
    <t>WP</t>
  </si>
  <si>
    <t>WQ</t>
  </si>
  <si>
    <t>WT</t>
  </si>
  <si>
    <t>WU</t>
  </si>
  <si>
    <t>WV</t>
  </si>
  <si>
    <t>WW</t>
  </si>
  <si>
    <t>WY</t>
  </si>
  <si>
    <t>WZ</t>
  </si>
  <si>
    <t>XA</t>
  </si>
  <si>
    <t>XB</t>
  </si>
  <si>
    <t>XC</t>
  </si>
  <si>
    <t>XD</t>
  </si>
  <si>
    <t>XF</t>
  </si>
  <si>
    <t>XH</t>
  </si>
  <si>
    <t>XI</t>
  </si>
  <si>
    <t>XJ</t>
  </si>
  <si>
    <t>XN</t>
  </si>
  <si>
    <t>XP</t>
  </si>
  <si>
    <t>XQ</t>
  </si>
  <si>
    <t>XT</t>
  </si>
  <si>
    <t>XU</t>
  </si>
  <si>
    <t>XW</t>
  </si>
  <si>
    <t>XX</t>
  </si>
  <si>
    <t>XY</t>
  </si>
  <si>
    <t>XZ</t>
  </si>
  <si>
    <t>YB</t>
  </si>
  <si>
    <t>YC</t>
  </si>
  <si>
    <t>YF</t>
  </si>
  <si>
    <t>YG</t>
  </si>
  <si>
    <t>YH</t>
  </si>
  <si>
    <t>YI</t>
  </si>
  <si>
    <t>YK</t>
  </si>
  <si>
    <t>YL</t>
  </si>
  <si>
    <t>YM</t>
  </si>
  <si>
    <t>YN</t>
  </si>
  <si>
    <t>YP</t>
  </si>
  <si>
    <t>YQ</t>
  </si>
  <si>
    <t>YR</t>
  </si>
  <si>
    <t>YS</t>
  </si>
  <si>
    <t>YT</t>
  </si>
  <si>
    <t>YV</t>
  </si>
  <si>
    <t>YW</t>
  </si>
  <si>
    <t>YY</t>
  </si>
  <si>
    <t>YZ</t>
  </si>
  <si>
    <t>ZA</t>
  </si>
  <si>
    <t>ZC</t>
  </si>
  <si>
    <t>ZD</t>
  </si>
  <si>
    <t>ZE</t>
  </si>
  <si>
    <t>ZF</t>
  </si>
  <si>
    <t>ZH</t>
  </si>
  <si>
    <t>ZI</t>
  </si>
  <si>
    <t>ZJ</t>
  </si>
  <si>
    <t>ZK</t>
  </si>
  <si>
    <t>ZL</t>
  </si>
  <si>
    <t>ZN</t>
  </si>
  <si>
    <t>ZO</t>
  </si>
  <si>
    <t>ZQ</t>
  </si>
  <si>
    <t>ZR</t>
  </si>
  <si>
    <t>ZS</t>
  </si>
  <si>
    <t>ZT</t>
  </si>
  <si>
    <t>ZU</t>
  </si>
  <si>
    <t>ZV</t>
  </si>
  <si>
    <t>ZW</t>
  </si>
  <si>
    <t>ZX</t>
  </si>
  <si>
    <t>ZY</t>
  </si>
  <si>
    <t>ZZ</t>
  </si>
  <si>
    <t>Welcome to the Alamaze Map &amp; Order Tracker v2.0.  This is a player-created Excel tool for tracking turn results and planning future turns.  It is designed to complement the TurnParser which is available on the forum, but can be used independently if preferred.</t>
  </si>
  <si>
    <t>Loading the Tool with Data</t>
  </si>
  <si>
    <t>1)</t>
  </si>
  <si>
    <t>Load a DAT file</t>
  </si>
  <si>
    <t>2)</t>
  </si>
  <si>
    <t>There are three ways of loading data into this tool</t>
  </si>
  <si>
    <t>Manually enter turn results</t>
  </si>
  <si>
    <t>The TurnParser created by bananas and available on the forum saves it's data in a DAT file.  By clickiing on the "Load DAT File" button in the bottom right of the Alamaze Map sheet and selecting that file, all that data will be loaded into the tool.  This can take a while.  You will see a message box when the load is complete.</t>
  </si>
  <si>
    <t>Turn results can be manually entered into the Alamaze sheet using the notation specified below.  Clicking the "Log Manual Changes" will store a copy of those changes in a hidden sheet.  Those stored changes can be restored to the map by clicking the "Load Manual Changes" button.</t>
  </si>
  <si>
    <t>3)</t>
  </si>
  <si>
    <t>Do both!</t>
  </si>
  <si>
    <t>You can use both methods at the same time.  First load in the DAT file from the parser.  Second, make any manual changes that you want.  A typical thing would be to note where unusual sightings are.  Be sure to log the manual changes, so you can reload them after updating the DAT file next turn.</t>
  </si>
  <si>
    <t>Map Notation</t>
  </si>
  <si>
    <t>The map is set up with conditional formatting to provide useful highlighting when data is entered with the correct notation.  DAT file data is automatically converted to the correct notation, but manual entries will need to be done in the right format in order to use this functionality.  Here are the basic notational rules.</t>
  </si>
  <si>
    <t>PC/US</t>
  </si>
  <si>
    <t>EM1</t>
  </si>
  <si>
    <t>EM2</t>
  </si>
  <si>
    <t>EM3</t>
  </si>
  <si>
    <t>EM4</t>
  </si>
  <si>
    <t>EM5</t>
  </si>
  <si>
    <t>GR1</t>
  </si>
  <si>
    <t>GR2</t>
  </si>
  <si>
    <t>GR3</t>
  </si>
  <si>
    <t>Each map square can show up to nine pieces of data.  The center space is used for population centers and unusual sightings.  The three rightmost spaces are used for groups.  The remainder are used for emissaries.</t>
  </si>
  <si>
    <t>[V/T/C][c] [KI]</t>
  </si>
  <si>
    <t>[c] designates this PC as a capital</t>
  </si>
  <si>
    <t>[V/T/C] stands for village, town or city</t>
  </si>
  <si>
    <t>Example:</t>
  </si>
  <si>
    <t>Tc BL</t>
  </si>
  <si>
    <t>[KI] is the two letter kingdom abbreviation</t>
  </si>
  <si>
    <t>If this space contains a population center, please use the following format:</t>
  </si>
  <si>
    <t>If this space contains an unusual sighting, please use the following format:</t>
  </si>
  <si>
    <t>[US/P] [c]</t>
  </si>
  <si>
    <t>[US/P] stands for unusual sighting or portal</t>
  </si>
  <si>
    <t>[c] indicates the unusual sighting has been cleared</t>
  </si>
  <si>
    <t>EM#</t>
  </si>
  <si>
    <t>If this space contains an emissary, please use the following format:</t>
  </si>
  <si>
    <t>[R][#] [KI] [OLD]</t>
  </si>
  <si>
    <t>Required</t>
  </si>
  <si>
    <t>Optional</t>
  </si>
  <si>
    <t>[R] stands for the first letter of the rank(K/D/etc)</t>
  </si>
  <si>
    <t>Note: Agents use "L", Priestesses use "HP", Prisoners use "%" and unknown emissaries use "?"</t>
  </si>
  <si>
    <t>[#] stands for level. Only used for agents</t>
  </si>
  <si>
    <t>[OLD] indicates the data is older than the current turn</t>
  </si>
  <si>
    <t>GR#</t>
  </si>
  <si>
    <t>If this space contains a group, please use the following format:</t>
  </si>
  <si>
    <t>[#][KI] [OLD]</t>
  </si>
  <si>
    <t>[#] stands for the group number</t>
  </si>
  <si>
    <t>[#][ ]</t>
  </si>
  <si>
    <t>If this space contains no population center, please use the following format:</t>
  </si>
  <si>
    <t>Kingdom affiliation of PCs, emissaries or groups is identified by the same color background.</t>
  </si>
  <si>
    <t>Current data is indicated by black text.  Older data is indicated by white text.</t>
  </si>
  <si>
    <t>[#] enter just this symbol('#')  to indicate no PC, but there still may be an unusual sighting. Shows in red.</t>
  </si>
  <si>
    <t>[ ] enter a space after the # to indicate no PC or US. Shows in black.</t>
  </si>
  <si>
    <t>Known Issues</t>
  </si>
  <si>
    <t>The turn tracker(sheet "Turns") has not been automated at all.  I will be exploring the possibilities in future development.</t>
  </si>
  <si>
    <t>Agents of higher than level 9 will not display the second digit of the level.</t>
  </si>
  <si>
    <t>I like to Freeze Panes at cell B2 of the Alamaze Map so that you can always see the map coordinates.  However, this sometimes causes the background map to become slightly unsynced with the cells.  To correct, unfreeze the pane then refreeze it.</t>
  </si>
  <si>
    <t>The background Alamaze map does not resize.  If you change the zoom of the sheet from 60%, it will no longer match the cells.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</si>
</sst>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7" x14ac:knownFonts="1">
    <font>
      <sz val="11"/>
      <color theme="1"/>
      <name val="Calibri"/>
      <family val="2"/>
      <scheme val="minor"/>
    </font>
    <font>
      <b/>
      <sz val="14"/>
      <color theme="1"/>
      <name val="Calibri"/>
      <family val="2"/>
      <scheme val="minor"/>
    </font>
    <font>
      <b/>
      <sz val="14"/>
      <name val="Calibri"/>
      <family val="2"/>
      <scheme val="minor"/>
    </font>
    <font>
      <sz val="11"/>
      <color theme="1"/>
      <name val="Calibri"/>
      <family val="2"/>
      <scheme val="minor"/>
    </font>
    <font>
      <sz val="14"/>
      <color theme="1"/>
      <name val="Calibri"/>
      <family val="2"/>
      <scheme val="minor"/>
    </font>
    <font>
      <b/>
      <sz val="14"/>
      <color rgb="FFFF0000"/>
      <name val="Calibri"/>
      <family val="2"/>
      <scheme val="minor"/>
    </font>
    <font>
      <b/>
      <sz val="11"/>
      <color theme="1"/>
      <name val="Calibri"/>
      <family val="2"/>
      <scheme val="minor"/>
    </font>
    <font>
      <b/>
      <sz val="24"/>
      <color theme="1"/>
      <name val="Calibri"/>
      <family val="2"/>
      <scheme val="minor"/>
    </font>
    <font>
      <b/>
      <sz val="20"/>
      <color theme="1"/>
      <name val="Calibri"/>
      <family val="2"/>
      <scheme val="minor"/>
    </font>
    <font>
      <sz val="12"/>
      <color theme="1"/>
      <name val="Calibri"/>
      <family val="2"/>
      <scheme val="minor"/>
    </font>
    <font>
      <b/>
      <sz val="11"/>
      <color rgb="FF333366"/>
      <name val="Calibri"/>
      <family val="2"/>
      <scheme val="minor"/>
    </font>
    <font>
      <sz val="11"/>
      <color rgb="FF333366"/>
      <name val="Calibri"/>
      <family val="2"/>
      <scheme val="minor"/>
    </font>
    <font>
      <b/>
      <sz val="24"/>
      <color rgb="FF000000"/>
      <name val="Calibri"/>
      <family val="2"/>
    </font>
    <font>
      <b/>
      <sz val="24"/>
      <color indexed="10"/>
      <name val="Calibri"/>
      <family val="2"/>
      <scheme val="minor"/>
    </font>
    <font>
      <b/>
      <sz val="18"/>
      <color theme="1"/>
      <name val="Calibri"/>
      <family val="2"/>
      <scheme val="minor"/>
    </font>
    <font>
      <i/>
      <sz val="11"/>
      <color theme="1"/>
      <name val="Calibri"/>
      <family val="2"/>
      <scheme val="minor"/>
    </font>
    <font>
      <i/>
      <sz val="10"/>
      <color theme="1"/>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0"/>
        <bgColor indexed="64"/>
      </patternFill>
    </fill>
  </fills>
  <borders count="31">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style="thin">
        <color indexed="64"/>
      </top>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rgb="FFFF0000"/>
      </left>
      <right style="medium">
        <color rgb="FFFF0000"/>
      </right>
      <top style="medium">
        <color rgb="FFFF0000"/>
      </top>
      <bottom style="medium">
        <color rgb="FFFF0000"/>
      </bottom>
      <diagonal/>
    </border>
    <border>
      <left style="medium">
        <color auto="1"/>
      </left>
      <right style="medium">
        <color auto="1"/>
      </right>
      <top style="medium">
        <color auto="1"/>
      </top>
      <bottom style="medium">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9" fontId="3" fillId="0" borderId="0" applyFont="0" applyFill="0" applyBorder="0" applyAlignment="0" applyProtection="0"/>
  </cellStyleXfs>
  <cellXfs count="123">
    <xf numFmtId="0" fontId="0" fillId="0" borderId="0" xfId="0"/>
    <xf numFmtId="0" fontId="0" fillId="0" borderId="0" xfId="0" applyAlignment="1">
      <alignment horizontal="center"/>
    </xf>
    <xf numFmtId="0" fontId="0" fillId="0" borderId="1" xfId="0" applyBorder="1"/>
    <xf numFmtId="0" fontId="0" fillId="0" borderId="2" xfId="0" applyBorder="1" applyAlignment="1">
      <alignment horizontal="center"/>
    </xf>
    <xf numFmtId="0" fontId="0" fillId="0" borderId="3" xfId="0" applyBorder="1" applyAlignment="1">
      <alignment horizontal="center"/>
    </xf>
    <xf numFmtId="0" fontId="0" fillId="0" borderId="4" xfId="0" applyBorder="1"/>
    <xf numFmtId="0" fontId="0" fillId="0" borderId="0" xfId="0" applyBorder="1" applyAlignment="1">
      <alignment horizontal="center"/>
    </xf>
    <xf numFmtId="0" fontId="0" fillId="0" borderId="5" xfId="0" applyBorder="1" applyAlignment="1">
      <alignment horizontal="center"/>
    </xf>
    <xf numFmtId="0" fontId="0" fillId="0" borderId="0" xfId="0" applyBorder="1"/>
    <xf numFmtId="3" fontId="0" fillId="0" borderId="0" xfId="0" applyNumberFormat="1" applyBorder="1" applyAlignment="1">
      <alignment horizontal="center"/>
    </xf>
    <xf numFmtId="3" fontId="0" fillId="0" borderId="5" xfId="0" applyNumberFormat="1" applyBorder="1" applyAlignment="1">
      <alignment horizontal="center"/>
    </xf>
    <xf numFmtId="0" fontId="0" fillId="0" borderId="5" xfId="0" applyBorder="1"/>
    <xf numFmtId="0" fontId="0" fillId="0" borderId="4" xfId="0" applyBorder="1" applyAlignment="1">
      <alignment horizontal="center"/>
    </xf>
    <xf numFmtId="0" fontId="6" fillId="0" borderId="4" xfId="0" applyFont="1" applyBorder="1"/>
    <xf numFmtId="0" fontId="6" fillId="0" borderId="0" xfId="0" applyFont="1" applyBorder="1"/>
    <xf numFmtId="3" fontId="6" fillId="0" borderId="0" xfId="0" applyNumberFormat="1" applyFont="1" applyBorder="1" applyAlignment="1">
      <alignment horizontal="center"/>
    </xf>
    <xf numFmtId="3" fontId="6" fillId="0" borderId="5" xfId="0" applyNumberFormat="1" applyFont="1" applyBorder="1" applyAlignment="1">
      <alignment horizontal="center"/>
    </xf>
    <xf numFmtId="0" fontId="6" fillId="0" borderId="6" xfId="0" applyFont="1" applyBorder="1"/>
    <xf numFmtId="0" fontId="6" fillId="0" borderId="7" xfId="0" applyFont="1" applyBorder="1"/>
    <xf numFmtId="3" fontId="6" fillId="0" borderId="7" xfId="0" applyNumberFormat="1" applyFont="1" applyBorder="1" applyAlignment="1">
      <alignment horizontal="center"/>
    </xf>
    <xf numFmtId="3" fontId="6" fillId="0" borderId="8" xfId="0" applyNumberFormat="1" applyFont="1" applyBorder="1" applyAlignment="1">
      <alignment horizontal="center"/>
    </xf>
    <xf numFmtId="0" fontId="0" fillId="2" borderId="25" xfId="0" applyFill="1" applyBorder="1"/>
    <xf numFmtId="3" fontId="0" fillId="2" borderId="25" xfId="0" applyNumberFormat="1" applyFill="1" applyBorder="1" applyAlignment="1">
      <alignment horizontal="center"/>
    </xf>
    <xf numFmtId="0" fontId="0" fillId="2" borderId="25" xfId="0" applyFont="1" applyFill="1" applyBorder="1"/>
    <xf numFmtId="0" fontId="0" fillId="2" borderId="25" xfId="0" applyFill="1" applyBorder="1" applyAlignment="1">
      <alignment horizontal="center"/>
    </xf>
    <xf numFmtId="0" fontId="6" fillId="0" borderId="0" xfId="0" applyFont="1" applyFill="1" applyBorder="1"/>
    <xf numFmtId="3" fontId="0" fillId="0" borderId="0" xfId="0" applyNumberFormat="1" applyBorder="1"/>
    <xf numFmtId="3" fontId="6" fillId="2" borderId="0" xfId="0" applyNumberFormat="1" applyFont="1" applyFill="1" applyBorder="1" applyAlignment="1">
      <alignment horizontal="center"/>
    </xf>
    <xf numFmtId="3" fontId="6" fillId="2" borderId="5" xfId="0" applyNumberFormat="1" applyFont="1" applyFill="1" applyBorder="1" applyAlignment="1">
      <alignment horizontal="center"/>
    </xf>
    <xf numFmtId="0" fontId="0" fillId="2" borderId="0" xfId="0" applyFill="1" applyBorder="1"/>
    <xf numFmtId="3" fontId="0" fillId="2" borderId="0" xfId="0" applyNumberFormat="1" applyFill="1" applyBorder="1" applyAlignment="1">
      <alignment horizontal="center"/>
    </xf>
    <xf numFmtId="3" fontId="0" fillId="2" borderId="5" xfId="0" applyNumberFormat="1" applyFill="1" applyBorder="1" applyAlignment="1">
      <alignment horizontal="center"/>
    </xf>
    <xf numFmtId="0" fontId="6" fillId="0" borderId="25" xfId="0" applyFont="1" applyBorder="1"/>
    <xf numFmtId="0" fontId="6" fillId="0" borderId="25" xfId="0" applyFont="1" applyBorder="1" applyAlignment="1">
      <alignment horizontal="center"/>
    </xf>
    <xf numFmtId="0" fontId="6" fillId="0" borderId="0" xfId="0" applyFont="1" applyAlignment="1">
      <alignment horizontal="center"/>
    </xf>
    <xf numFmtId="0" fontId="0" fillId="3" borderId="0" xfId="0" applyFill="1"/>
    <xf numFmtId="0" fontId="6" fillId="3" borderId="0" xfId="0" applyFont="1" applyFill="1" applyAlignment="1">
      <alignment horizontal="center"/>
    </xf>
    <xf numFmtId="0" fontId="4" fillId="3" borderId="25" xfId="0" applyFont="1" applyFill="1" applyBorder="1" applyAlignment="1">
      <alignment horizontal="center"/>
    </xf>
    <xf numFmtId="164" fontId="1" fillId="3" borderId="25" xfId="0" applyNumberFormat="1" applyFont="1" applyFill="1" applyBorder="1" applyAlignment="1">
      <alignment horizontal="center"/>
    </xf>
    <xf numFmtId="0" fontId="1" fillId="3" borderId="0" xfId="0" applyFont="1" applyFill="1" applyBorder="1" applyAlignment="1">
      <alignment horizontal="center" vertical="center" wrapText="1"/>
    </xf>
    <xf numFmtId="9" fontId="4" fillId="3" borderId="25" xfId="1" applyFont="1" applyFill="1" applyBorder="1" applyAlignment="1">
      <alignment horizontal="center"/>
    </xf>
    <xf numFmtId="164" fontId="4" fillId="3" borderId="25" xfId="0" applyNumberFormat="1" applyFont="1" applyFill="1" applyBorder="1" applyAlignment="1">
      <alignment horizontal="center"/>
    </xf>
    <xf numFmtId="0" fontId="1" fillId="3" borderId="0" xfId="0" applyFont="1" applyFill="1" applyBorder="1" applyAlignment="1">
      <alignment horizontal="center"/>
    </xf>
    <xf numFmtId="0" fontId="0" fillId="3" borderId="0" xfId="0" applyFill="1" applyAlignment="1">
      <alignment horizontal="center"/>
    </xf>
    <xf numFmtId="0" fontId="5" fillId="3" borderId="26" xfId="0" applyFont="1" applyFill="1" applyBorder="1" applyAlignment="1">
      <alignment horizontal="center" vertical="center" wrapText="1"/>
    </xf>
    <xf numFmtId="0" fontId="2" fillId="3" borderId="27" xfId="0" applyFont="1" applyFill="1" applyBorder="1" applyAlignment="1">
      <alignment horizontal="center" vertical="center" wrapText="1"/>
    </xf>
    <xf numFmtId="0" fontId="0" fillId="3" borderId="25" xfId="0" applyFill="1" applyBorder="1" applyAlignment="1">
      <alignment horizontal="center"/>
    </xf>
    <xf numFmtId="0" fontId="0" fillId="3" borderId="28" xfId="0" applyFill="1" applyBorder="1"/>
    <xf numFmtId="0" fontId="0" fillId="3" borderId="29" xfId="0" applyFill="1" applyBorder="1"/>
    <xf numFmtId="0" fontId="0" fillId="3" borderId="30" xfId="0" applyFill="1" applyBorder="1"/>
    <xf numFmtId="0" fontId="0" fillId="3" borderId="25" xfId="0" applyFill="1" applyBorder="1"/>
    <xf numFmtId="9" fontId="0" fillId="3" borderId="0" xfId="1" applyFont="1" applyFill="1"/>
    <xf numFmtId="0" fontId="0" fillId="3" borderId="1" xfId="0" applyFill="1" applyBorder="1"/>
    <xf numFmtId="0" fontId="0" fillId="3" borderId="2" xfId="0" applyFill="1" applyBorder="1"/>
    <xf numFmtId="0" fontId="0" fillId="3" borderId="3" xfId="0" applyFill="1" applyBorder="1"/>
    <xf numFmtId="0" fontId="0" fillId="3" borderId="6" xfId="0" applyFill="1" applyBorder="1"/>
    <xf numFmtId="0" fontId="0" fillId="3" borderId="7" xfId="0" applyFill="1" applyBorder="1"/>
    <xf numFmtId="0" fontId="0" fillId="3" borderId="8" xfId="0" applyFill="1" applyBorder="1"/>
    <xf numFmtId="0" fontId="0" fillId="3" borderId="5" xfId="0" applyFill="1" applyBorder="1"/>
    <xf numFmtId="0" fontId="0" fillId="3" borderId="4" xfId="0" applyFill="1" applyBorder="1"/>
    <xf numFmtId="0" fontId="0" fillId="0" borderId="0" xfId="0" applyFont="1"/>
    <xf numFmtId="0" fontId="10" fillId="0" borderId="0" xfId="0" applyFont="1"/>
    <xf numFmtId="0" fontId="11" fillId="0" borderId="0" xfId="0" applyFont="1"/>
    <xf numFmtId="0" fontId="2" fillId="0" borderId="1" xfId="0" applyFont="1" applyFill="1" applyBorder="1" applyAlignment="1">
      <alignment horizontal="center" vertical="top" wrapText="1"/>
    </xf>
    <xf numFmtId="0" fontId="2" fillId="0" borderId="2" xfId="0" applyFont="1" applyFill="1" applyBorder="1" applyAlignment="1">
      <alignment horizontal="center" vertical="top" wrapText="1"/>
    </xf>
    <xf numFmtId="0" fontId="2" fillId="0" borderId="3" xfId="0" applyFont="1" applyFill="1" applyBorder="1" applyAlignment="1">
      <alignment horizontal="center" vertical="top" wrapText="1"/>
    </xf>
    <xf numFmtId="0" fontId="2" fillId="0" borderId="18" xfId="0" applyFont="1" applyFill="1" applyBorder="1" applyAlignment="1">
      <alignment horizontal="center" vertical="top" wrapText="1"/>
    </xf>
    <xf numFmtId="0" fontId="2" fillId="0" borderId="23" xfId="0" applyFont="1" applyFill="1" applyBorder="1" applyAlignment="1">
      <alignment horizontal="center" vertical="top" wrapText="1"/>
    </xf>
    <xf numFmtId="0" fontId="2" fillId="0" borderId="4" xfId="0" applyFont="1" applyFill="1" applyBorder="1" applyAlignment="1">
      <alignment horizontal="center" vertical="top" wrapText="1"/>
    </xf>
    <xf numFmtId="0" fontId="2" fillId="0" borderId="0" xfId="0" applyFont="1" applyFill="1" applyBorder="1" applyAlignment="1">
      <alignment horizontal="center" vertical="top" wrapText="1"/>
    </xf>
    <xf numFmtId="0" fontId="2" fillId="0" borderId="5" xfId="0" applyFont="1" applyFill="1" applyBorder="1" applyAlignment="1">
      <alignment horizontal="center" vertical="top" wrapText="1"/>
    </xf>
    <xf numFmtId="0" fontId="2" fillId="0" borderId="14" xfId="0" applyFont="1" applyFill="1" applyBorder="1" applyAlignment="1">
      <alignment horizontal="center" vertical="top" wrapText="1"/>
    </xf>
    <xf numFmtId="0" fontId="2" fillId="0" borderId="15" xfId="0" applyFont="1" applyFill="1" applyBorder="1" applyAlignment="1">
      <alignment horizontal="center" vertical="top" wrapText="1"/>
    </xf>
    <xf numFmtId="0" fontId="2" fillId="0" borderId="6" xfId="0" applyFont="1" applyFill="1" applyBorder="1" applyAlignment="1">
      <alignment horizontal="center" vertical="top" wrapText="1"/>
    </xf>
    <xf numFmtId="0" fontId="2" fillId="0" borderId="7" xfId="0" applyFont="1" applyFill="1" applyBorder="1" applyAlignment="1">
      <alignment horizontal="center" vertical="top" wrapText="1"/>
    </xf>
    <xf numFmtId="0" fontId="2" fillId="0" borderId="8" xfId="0" applyFont="1" applyFill="1" applyBorder="1" applyAlignment="1">
      <alignment horizontal="center" vertical="top" wrapText="1"/>
    </xf>
    <xf numFmtId="0" fontId="2" fillId="0" borderId="19" xfId="0" applyFont="1" applyFill="1" applyBorder="1" applyAlignment="1">
      <alignment horizontal="center" vertical="top" wrapText="1"/>
    </xf>
    <xf numFmtId="0" fontId="2" fillId="0" borderId="20" xfId="0" applyFont="1" applyFill="1" applyBorder="1" applyAlignment="1">
      <alignment horizontal="center" vertical="top" wrapText="1"/>
    </xf>
    <xf numFmtId="0" fontId="2" fillId="0" borderId="21" xfId="0" applyFont="1" applyFill="1" applyBorder="1" applyAlignment="1">
      <alignment horizontal="center" vertical="top" wrapText="1"/>
    </xf>
    <xf numFmtId="0" fontId="2" fillId="0" borderId="22" xfId="0" applyFont="1" applyFill="1" applyBorder="1" applyAlignment="1">
      <alignment horizontal="center" vertical="top" wrapText="1"/>
    </xf>
    <xf numFmtId="0" fontId="2" fillId="0" borderId="24" xfId="0" applyFont="1" applyFill="1" applyBorder="1" applyAlignment="1">
      <alignment horizontal="center" vertical="top" wrapText="1"/>
    </xf>
    <xf numFmtId="0" fontId="2" fillId="0" borderId="9" xfId="0" applyFont="1" applyFill="1" applyBorder="1" applyAlignment="1">
      <alignment horizontal="center" vertical="top" wrapText="1"/>
    </xf>
    <xf numFmtId="0" fontId="2" fillId="0" borderId="10" xfId="0" applyFont="1" applyFill="1" applyBorder="1" applyAlignment="1">
      <alignment horizontal="center" vertical="top" wrapText="1"/>
    </xf>
    <xf numFmtId="0" fontId="2" fillId="0" borderId="13" xfId="0" applyFont="1" applyFill="1" applyBorder="1" applyAlignment="1">
      <alignment horizontal="center" vertical="top" wrapText="1"/>
    </xf>
    <xf numFmtId="0" fontId="2" fillId="0" borderId="17" xfId="0" applyFont="1" applyFill="1" applyBorder="1" applyAlignment="1">
      <alignment horizontal="center" vertical="top" wrapText="1"/>
    </xf>
    <xf numFmtId="0" fontId="2" fillId="0" borderId="16" xfId="0" applyFont="1" applyFill="1" applyBorder="1" applyAlignment="1">
      <alignment horizontal="center" vertical="top" wrapText="1"/>
    </xf>
    <xf numFmtId="0" fontId="2" fillId="0" borderId="12" xfId="0" applyFont="1" applyFill="1" applyBorder="1" applyAlignment="1">
      <alignment horizontal="center" vertical="top" wrapText="1"/>
    </xf>
    <xf numFmtId="0" fontId="2" fillId="0" borderId="11" xfId="0" applyFont="1" applyFill="1" applyBorder="1" applyAlignment="1">
      <alignment horizontal="center" vertical="top" wrapText="1"/>
    </xf>
    <xf numFmtId="15" fontId="2" fillId="0" borderId="0" xfId="0" applyNumberFormat="1" applyFont="1" applyFill="1" applyBorder="1" applyAlignment="1">
      <alignment horizontal="center" vertical="top" wrapText="1"/>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1" xfId="0" applyFill="1" applyBorder="1" applyAlignment="1">
      <alignment horizontal="center" vertical="center"/>
    </xf>
    <xf numFmtId="0" fontId="0" fillId="0" borderId="4" xfId="0" applyFill="1" applyBorder="1" applyAlignment="1">
      <alignment horizontal="center" vertical="center"/>
    </xf>
    <xf numFmtId="0" fontId="0" fillId="0" borderId="6" xfId="0" applyFill="1" applyBorder="1" applyAlignment="1">
      <alignment horizontal="center" vertical="center"/>
    </xf>
    <xf numFmtId="0" fontId="0" fillId="0" borderId="5" xfId="0" applyBorder="1" applyAlignment="1">
      <alignment horizontal="center" vertical="center"/>
    </xf>
    <xf numFmtId="0" fontId="0" fillId="0" borderId="8" xfId="0" applyBorder="1" applyAlignment="1">
      <alignment horizontal="center" vertical="center"/>
    </xf>
    <xf numFmtId="0" fontId="9" fillId="3" borderId="0" xfId="0" applyFont="1" applyFill="1" applyAlignment="1">
      <alignment wrapText="1"/>
    </xf>
    <xf numFmtId="0" fontId="0" fillId="3" borderId="0" xfId="0" applyFill="1" applyAlignment="1">
      <alignment wrapText="1"/>
    </xf>
    <xf numFmtId="0" fontId="7" fillId="3" borderId="25" xfId="0" applyFont="1" applyFill="1" applyBorder="1" applyAlignment="1">
      <alignment horizontal="center" vertical="center"/>
    </xf>
    <xf numFmtId="0" fontId="8" fillId="3" borderId="25" xfId="0" applyFont="1" applyFill="1" applyBorder="1" applyAlignment="1">
      <alignment horizontal="center" vertical="center"/>
    </xf>
    <xf numFmtId="0" fontId="9" fillId="3" borderId="0" xfId="0" applyFont="1" applyFill="1" applyBorder="1" applyAlignment="1">
      <alignment vertical="center" wrapText="1"/>
    </xf>
    <xf numFmtId="0" fontId="1" fillId="3" borderId="4" xfId="0" applyFont="1" applyFill="1" applyBorder="1" applyAlignment="1">
      <alignment horizontal="center"/>
    </xf>
    <xf numFmtId="0" fontId="1" fillId="3" borderId="0" xfId="0" applyFont="1" applyFill="1" applyBorder="1" applyAlignment="1">
      <alignment horizontal="center"/>
    </xf>
    <xf numFmtId="0" fontId="0" fillId="0" borderId="6" xfId="0" applyBorder="1" applyAlignment="1">
      <alignment horizontal="center" vertical="center"/>
    </xf>
    <xf numFmtId="0" fontId="0" fillId="0" borderId="7" xfId="0" applyBorder="1" applyAlignment="1">
      <alignment horizontal="center" vertical="center"/>
    </xf>
    <xf numFmtId="0" fontId="6" fillId="0" borderId="0" xfId="0" applyFont="1"/>
    <xf numFmtId="0" fontId="14" fillId="0" borderId="0" xfId="0" applyFont="1"/>
    <xf numFmtId="0" fontId="0" fillId="0" borderId="0" xfId="0" applyAlignment="1">
      <alignment wrapText="1"/>
    </xf>
    <xf numFmtId="0" fontId="15" fillId="0" borderId="0" xfId="0" applyFont="1"/>
    <xf numFmtId="0" fontId="0" fillId="0" borderId="0" xfId="0" applyFont="1" applyAlignment="1">
      <alignment wrapText="1"/>
    </xf>
    <xf numFmtId="0" fontId="0" fillId="0" borderId="1"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0" xfId="0" applyFill="1" applyBorder="1" applyAlignment="1"/>
    <xf numFmtId="0" fontId="0" fillId="0" borderId="0" xfId="0" applyFill="1" applyBorder="1" applyAlignment="1">
      <alignment wrapText="1"/>
    </xf>
    <xf numFmtId="0" fontId="0" fillId="0" borderId="25" xfId="0" applyFill="1" applyBorder="1" applyAlignment="1">
      <alignment horizontal="center"/>
    </xf>
    <xf numFmtId="0" fontId="16" fillId="0" borderId="0" xfId="0" applyFont="1" applyFill="1" applyBorder="1" applyAlignment="1"/>
    <xf numFmtId="0" fontId="16" fillId="0" borderId="0" xfId="0" applyFont="1"/>
    <xf numFmtId="0" fontId="16" fillId="0" borderId="0" xfId="0" applyFont="1" applyAlignment="1">
      <alignment vertical="center" wrapText="1"/>
    </xf>
    <xf numFmtId="0" fontId="6" fillId="0" borderId="0" xfId="0" applyFont="1" applyFill="1" applyBorder="1" applyAlignment="1"/>
    <xf numFmtId="0" fontId="16" fillId="0" borderId="0" xfId="0" applyFont="1" applyFill="1" applyBorder="1" applyAlignment="1">
      <alignment vertical="center" wrapText="1"/>
    </xf>
  </cellXfs>
  <cellStyles count="2">
    <cellStyle name="Normal" xfId="0" builtinId="0"/>
    <cellStyle name="Percent" xfId="1" builtinId="5"/>
  </cellStyles>
  <dxfs count="25">
    <dxf>
      <fill>
        <patternFill>
          <bgColor rgb="FFFF99CC"/>
        </patternFill>
      </fill>
    </dxf>
    <dxf>
      <fill>
        <patternFill>
          <bgColor rgb="FF008080"/>
        </patternFill>
      </fill>
    </dxf>
    <dxf>
      <fill>
        <patternFill>
          <bgColor rgb="FF99CCFF"/>
        </patternFill>
      </fill>
    </dxf>
    <dxf>
      <fill>
        <patternFill>
          <bgColor rgb="FF00CC99"/>
        </patternFill>
      </fill>
    </dxf>
    <dxf>
      <fill>
        <patternFill>
          <bgColor rgb="FF99CC00"/>
        </patternFill>
      </fill>
    </dxf>
    <dxf>
      <fill>
        <patternFill>
          <bgColor rgb="FFFF0000"/>
        </patternFill>
      </fill>
    </dxf>
    <dxf>
      <font>
        <color auto="1"/>
      </font>
      <fill>
        <patternFill>
          <bgColor rgb="FFCC99FF"/>
        </patternFill>
      </fill>
    </dxf>
    <dxf>
      <font>
        <color auto="1"/>
      </font>
      <fill>
        <patternFill>
          <bgColor rgb="FFFF9900"/>
        </patternFill>
      </fill>
    </dxf>
    <dxf>
      <fill>
        <patternFill>
          <bgColor rgb="FF00FFFF"/>
        </patternFill>
      </fill>
    </dxf>
    <dxf>
      <fill>
        <patternFill>
          <bgColor rgb="FF00FF00"/>
        </patternFill>
      </fill>
    </dxf>
    <dxf>
      <fill>
        <patternFill>
          <bgColor rgb="FFFFCC99"/>
        </patternFill>
      </fill>
    </dxf>
    <dxf>
      <fill>
        <patternFill>
          <bgColor rgb="FFFFFF99"/>
        </patternFill>
      </fill>
    </dxf>
    <dxf>
      <fill>
        <patternFill>
          <bgColor rgb="FFFFFF00"/>
        </patternFill>
      </fill>
    </dxf>
    <dxf>
      <fill>
        <patternFill>
          <bgColor rgb="FF3366FF"/>
        </patternFill>
      </fill>
    </dxf>
    <dxf>
      <fill>
        <patternFill>
          <bgColor rgb="FFFF00FF"/>
        </patternFill>
      </fill>
    </dxf>
    <dxf>
      <fill>
        <patternFill>
          <bgColor theme="0" tint="-0.24994659260841701"/>
        </patternFill>
      </fill>
    </dxf>
    <dxf>
      <fill>
        <patternFill patternType="solid">
          <bgColor theme="0"/>
        </patternFill>
      </fill>
    </dxf>
    <dxf>
      <fill>
        <patternFill patternType="solid">
          <bgColor theme="0"/>
        </patternFill>
      </fill>
    </dxf>
    <dxf>
      <fill>
        <patternFill patternType="solid">
          <bgColor theme="0"/>
        </patternFill>
      </fill>
    </dxf>
    <dxf>
      <font>
        <b/>
        <i val="0"/>
        <color rgb="FFFF0000"/>
      </font>
      <fill>
        <patternFill>
          <bgColor rgb="FFFFFF00"/>
        </patternFill>
      </fill>
      <border>
        <left style="thin">
          <color rgb="FFFF0000"/>
        </left>
        <right style="thin">
          <color rgb="FFFF0000"/>
        </right>
        <top style="thin">
          <color rgb="FFFF0000"/>
        </top>
        <bottom style="thin">
          <color rgb="FFFF0000"/>
        </bottom>
        <vertical/>
        <horizontal/>
      </border>
    </dxf>
    <dxf>
      <font>
        <b/>
        <i val="0"/>
      </font>
      <fill>
        <patternFill>
          <bgColor rgb="FFFFFF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vertical/>
        <horizontal/>
      </border>
    </dxf>
    <dxf>
      <font>
        <b/>
        <i val="0"/>
        <color rgb="FFFF0000"/>
      </font>
    </dxf>
    <dxf>
      <font>
        <b val="0"/>
        <i val="0"/>
        <color theme="0"/>
      </font>
    </dxf>
    <dxf>
      <font>
        <color theme="0"/>
      </font>
    </dxf>
  </dxfs>
  <tableStyles count="0" defaultTableStyle="TableStyleMedium2" defaultPivotStyle="PivotStyleLight16"/>
  <colors>
    <mruColors>
      <color rgb="FF33CC33"/>
      <color rgb="FF00CC99"/>
      <color rgb="FFFF9900"/>
      <color rgb="FF00CC66"/>
      <color rgb="FF66FF66"/>
      <color rgb="FF66FF33"/>
      <color rgb="FFFF99CC"/>
      <color rgb="FF008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90</xdr:col>
          <xdr:colOff>66675</xdr:colOff>
          <xdr:row>68</xdr:row>
          <xdr:rowOff>0</xdr:rowOff>
        </xdr:from>
        <xdr:to>
          <xdr:col>94</xdr:col>
          <xdr:colOff>285750</xdr:colOff>
          <xdr:row>69</xdr:row>
          <xdr:rowOff>200025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45720" tIns="50292" rIns="45720" bIns="50292" anchor="ctr" upright="1"/>
            <a:lstStyle/>
            <a:p>
              <a:pPr algn="ctr" rtl="0">
                <a:defRPr sz="1000"/>
              </a:pPr>
              <a:r>
                <a:rPr lang="en-US" sz="2400" b="1" i="0" u="none" strike="noStrike" baseline="0">
                  <a:solidFill>
                    <a:srgbClr val="000000"/>
                  </a:solidFill>
                  <a:latin typeface="Calibri"/>
                </a:rPr>
                <a:t>Load DAT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90</xdr:col>
          <xdr:colOff>66675</xdr:colOff>
          <xdr:row>70</xdr:row>
          <xdr:rowOff>104775</xdr:rowOff>
        </xdr:from>
        <xdr:to>
          <xdr:col>94</xdr:col>
          <xdr:colOff>285750</xdr:colOff>
          <xdr:row>72</xdr:row>
          <xdr:rowOff>47625</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45720" tIns="50292" rIns="45720" bIns="50292" anchor="ctr" upright="1"/>
            <a:lstStyle/>
            <a:p>
              <a:pPr algn="ctr" rtl="0">
                <a:defRPr sz="1000"/>
              </a:pPr>
              <a:r>
                <a:rPr lang="en-US" sz="2400" b="1" i="0" u="none" strike="noStrike" baseline="0">
                  <a:solidFill>
                    <a:srgbClr val="000000"/>
                  </a:solidFill>
                  <a:latin typeface="Calibri"/>
                </a:rPr>
                <a:t>Log Manual Changes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90</xdr:col>
          <xdr:colOff>66675</xdr:colOff>
          <xdr:row>72</xdr:row>
          <xdr:rowOff>206375</xdr:rowOff>
        </xdr:from>
        <xdr:to>
          <xdr:col>94</xdr:col>
          <xdr:colOff>285750</xdr:colOff>
          <xdr:row>74</xdr:row>
          <xdr:rowOff>158750</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45720" tIns="50292" rIns="45720" bIns="50292" anchor="ctr" upright="1"/>
            <a:lstStyle/>
            <a:p>
              <a:pPr algn="ctr" rtl="0">
                <a:defRPr sz="1000"/>
              </a:pPr>
              <a:r>
                <a:rPr lang="en-US" sz="2400" b="1" i="0" u="none" strike="noStrike" baseline="0">
                  <a:solidFill>
                    <a:srgbClr val="000000"/>
                  </a:solidFill>
                  <a:latin typeface="Calibri"/>
                </a:rPr>
                <a:t>Load Manual Changes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90</xdr:col>
          <xdr:colOff>66675</xdr:colOff>
          <xdr:row>75</xdr:row>
          <xdr:rowOff>63500</xdr:rowOff>
        </xdr:from>
        <xdr:to>
          <xdr:col>94</xdr:col>
          <xdr:colOff>290195</xdr:colOff>
          <xdr:row>77</xdr:row>
          <xdr:rowOff>12700</xdr:rowOff>
        </xdr:to>
        <xdr:sp macro="" textlink="">
          <xdr:nvSpPr>
            <xdr:cNvPr id="2052" name="Button 4" hidden="1">
              <a:extLst>
                <a:ext uri="{63B3BB69-23CF-44E3-9099-C40C66FF867C}">
                  <a14:compatExt spid="_x0000_s205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2400" b="1" i="0" u="none" strike="noStrike" baseline="0">
                  <a:solidFill>
                    <a:srgbClr val="FF0000"/>
                  </a:solidFill>
                  <a:latin typeface="Calibri"/>
                </a:rPr>
                <a:t>Clear Manual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90</xdr:col>
          <xdr:colOff>66674</xdr:colOff>
          <xdr:row>77</xdr:row>
          <xdr:rowOff>171450</xdr:rowOff>
        </xdr:from>
        <xdr:to>
          <xdr:col>94</xdr:col>
          <xdr:colOff>290194</xdr:colOff>
          <xdr:row>79</xdr:row>
          <xdr:rowOff>120650</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2400" b="1" i="0" u="none" strike="noStrike" baseline="0">
                  <a:solidFill>
                    <a:srgbClr val="FF0000"/>
                  </a:solidFill>
                  <a:latin typeface="Calibri"/>
                </a:rPr>
                <a:t>CLEAR ALL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1.vml"/><Relationship Id="rId7"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image" Target="../media/image1.jpeg"/><Relationship Id="rId9"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Q93"/>
  <sheetViews>
    <sheetView showGridLines="0" tabSelected="1" zoomScale="60" zoomScaleNormal="60" workbookViewId="0"/>
  </sheetViews>
  <sheetFormatPr defaultColWidth="0" defaultRowHeight="15" zeroHeight="1" x14ac:dyDescent="0.25"/>
  <cols>
    <col min="1" max="1" width="9.42578125" style="1" customWidth="1"/>
    <col min="2" max="79" width="4.7109375" customWidth="1"/>
    <col min="80" max="80" width="8.5703125" style="1" customWidth="1"/>
    <col min="81" max="81" width="6.140625" bestFit="1" customWidth="1"/>
    <col min="82" max="82" width="1.7109375" customWidth="1"/>
    <col min="83" max="83" width="7" bestFit="1" customWidth="1"/>
    <col min="84" max="84" width="14.7109375" bestFit="1" customWidth="1"/>
    <col min="85" max="88" width="9.140625" customWidth="1"/>
    <col min="89" max="89" width="1.7109375" customWidth="1"/>
    <col min="90" max="90" width="5.5703125" bestFit="1" customWidth="1"/>
    <col min="91" max="91" width="14.7109375" bestFit="1" customWidth="1"/>
    <col min="92" max="95" width="9.140625" customWidth="1"/>
    <col min="96" max="16384" width="9.140625" hidden="1"/>
  </cols>
  <sheetData>
    <row r="1" spans="1:95" ht="39.75" customHeight="1" x14ac:dyDescent="0.25">
      <c r="B1" s="89"/>
      <c r="C1" s="90"/>
      <c r="D1" s="91"/>
      <c r="E1" s="89"/>
      <c r="F1" s="90"/>
      <c r="G1" s="91"/>
      <c r="H1" s="89"/>
      <c r="I1" s="90"/>
      <c r="J1" s="91"/>
      <c r="K1" s="89"/>
      <c r="L1" s="90"/>
      <c r="M1" s="91"/>
      <c r="N1" s="89"/>
      <c r="O1" s="90"/>
      <c r="P1" s="91"/>
      <c r="Q1" s="89"/>
      <c r="R1" s="90"/>
      <c r="S1" s="91"/>
      <c r="T1" s="89"/>
      <c r="U1" s="90"/>
      <c r="V1" s="91"/>
      <c r="W1" s="89"/>
      <c r="X1" s="90"/>
      <c r="Y1" s="91"/>
      <c r="Z1" s="89"/>
      <c r="AA1" s="90"/>
      <c r="AB1" s="91"/>
      <c r="AC1" s="89"/>
      <c r="AD1" s="90"/>
      <c r="AE1" s="91"/>
      <c r="AF1" s="89"/>
      <c r="AG1" s="90"/>
      <c r="AH1" s="91"/>
      <c r="AI1" s="89"/>
      <c r="AJ1" s="90"/>
      <c r="AK1" s="91"/>
      <c r="AL1" s="89"/>
      <c r="AM1" s="90"/>
      <c r="AN1" s="91"/>
      <c r="AO1" s="89"/>
      <c r="AP1" s="90"/>
      <c r="AQ1" s="91"/>
      <c r="AR1" s="89"/>
      <c r="AS1" s="90"/>
      <c r="AT1" s="91"/>
      <c r="AU1" s="89"/>
      <c r="AV1" s="90"/>
      <c r="AW1" s="91"/>
      <c r="AX1" s="89"/>
      <c r="AY1" s="90"/>
      <c r="AZ1" s="91"/>
      <c r="BA1" s="89"/>
      <c r="BB1" s="90"/>
      <c r="BC1" s="91"/>
      <c r="BD1" s="89"/>
      <c r="BE1" s="90"/>
      <c r="BF1" s="91"/>
      <c r="BG1" s="89"/>
      <c r="BH1" s="90"/>
      <c r="BI1" s="91"/>
      <c r="BJ1" s="89"/>
      <c r="BK1" s="90"/>
      <c r="BL1" s="91"/>
      <c r="BM1" s="89"/>
      <c r="BN1" s="90"/>
      <c r="BO1" s="91"/>
      <c r="BP1" s="89"/>
      <c r="BQ1" s="90"/>
      <c r="BR1" s="91"/>
      <c r="BS1" s="89"/>
      <c r="BT1" s="90"/>
      <c r="BU1" s="91"/>
      <c r="BV1" s="89"/>
      <c r="BW1" s="90"/>
      <c r="BX1" s="91"/>
      <c r="BY1" s="89"/>
      <c r="BZ1" s="90"/>
      <c r="CA1" s="91"/>
      <c r="CC1" s="35"/>
      <c r="CD1" s="35"/>
      <c r="CE1" s="35"/>
      <c r="CF1" s="36" t="s">
        <v>14</v>
      </c>
      <c r="CG1" s="35"/>
      <c r="CH1" s="35"/>
      <c r="CI1" s="35"/>
      <c r="CJ1" s="36" t="s">
        <v>74</v>
      </c>
      <c r="CK1" s="35"/>
      <c r="CL1" s="35"/>
      <c r="CM1" s="36" t="s">
        <v>14</v>
      </c>
      <c r="CN1" s="35"/>
      <c r="CO1" s="35"/>
      <c r="CP1" s="35"/>
      <c r="CQ1" s="36" t="s">
        <v>74</v>
      </c>
    </row>
    <row r="2" spans="1:95" ht="20.100000000000001" customHeight="1" x14ac:dyDescent="0.3">
      <c r="A2" s="92"/>
      <c r="B2" s="63"/>
      <c r="C2" s="64"/>
      <c r="D2" s="65"/>
      <c r="E2" s="63"/>
      <c r="F2" s="64"/>
      <c r="G2" s="65"/>
      <c r="H2" s="63"/>
      <c r="I2" s="64"/>
      <c r="J2" s="65"/>
      <c r="K2" s="63"/>
      <c r="L2" s="64"/>
      <c r="M2" s="65"/>
      <c r="N2" s="63"/>
      <c r="O2" s="64"/>
      <c r="P2" s="65"/>
      <c r="Q2" s="63"/>
      <c r="R2" s="64"/>
      <c r="S2" s="65"/>
      <c r="T2" s="63"/>
      <c r="U2" s="64"/>
      <c r="V2" s="64"/>
      <c r="W2" s="66"/>
      <c r="X2" s="64"/>
      <c r="Y2" s="65"/>
      <c r="Z2" s="63"/>
      <c r="AA2" s="64"/>
      <c r="AB2" s="65"/>
      <c r="AC2" s="63"/>
      <c r="AD2" s="64"/>
      <c r="AE2" s="65"/>
      <c r="AF2" s="63"/>
      <c r="AG2" s="64"/>
      <c r="AH2" s="65"/>
      <c r="AI2" s="63"/>
      <c r="AJ2" s="64"/>
      <c r="AK2" s="65"/>
      <c r="AL2" s="63"/>
      <c r="AM2" s="64"/>
      <c r="AN2" s="65"/>
      <c r="AO2" s="63"/>
      <c r="AP2" s="64"/>
      <c r="AQ2" s="65"/>
      <c r="AR2" s="63"/>
      <c r="AS2" s="64"/>
      <c r="AT2" s="65"/>
      <c r="AU2" s="63"/>
      <c r="AV2" s="64"/>
      <c r="AW2" s="65"/>
      <c r="AX2" s="63"/>
      <c r="AY2" s="64"/>
      <c r="AZ2" s="65"/>
      <c r="BA2" s="63"/>
      <c r="BB2" s="64"/>
      <c r="BC2" s="65"/>
      <c r="BD2" s="63"/>
      <c r="BE2" s="64"/>
      <c r="BF2" s="67"/>
      <c r="BG2" s="64"/>
      <c r="BH2" s="64"/>
      <c r="BI2" s="65"/>
      <c r="BJ2" s="63"/>
      <c r="BK2" s="64"/>
      <c r="BL2" s="65"/>
      <c r="BM2" s="63"/>
      <c r="BN2" s="64"/>
      <c r="BO2" s="65"/>
      <c r="BP2" s="63"/>
      <c r="BQ2" s="64"/>
      <c r="BR2" s="65"/>
      <c r="BS2" s="63"/>
      <c r="BT2" s="64"/>
      <c r="BU2" s="65"/>
      <c r="BV2" s="63"/>
      <c r="BW2" s="64"/>
      <c r="BX2" s="65"/>
      <c r="BY2" s="63"/>
      <c r="BZ2" s="64"/>
      <c r="CA2" s="65"/>
      <c r="CB2" s="91"/>
      <c r="CC2" s="35"/>
      <c r="CD2" s="35"/>
      <c r="CE2" s="37">
        <v>1</v>
      </c>
      <c r="CF2" s="37">
        <f>COUNTA(Region1)</f>
        <v>66</v>
      </c>
      <c r="CG2" s="37" t="s">
        <v>3</v>
      </c>
      <c r="CH2" s="37" t="s">
        <v>2</v>
      </c>
      <c r="CI2" s="37" t="s">
        <v>0</v>
      </c>
      <c r="CJ2" s="35"/>
      <c r="CK2" s="35"/>
      <c r="CL2" s="37">
        <v>6</v>
      </c>
      <c r="CM2" s="37">
        <f>COUNTA(Region6)</f>
        <v>64</v>
      </c>
      <c r="CN2" s="37" t="s">
        <v>3</v>
      </c>
      <c r="CO2" s="37" t="s">
        <v>2</v>
      </c>
      <c r="CP2" s="37" t="s">
        <v>0</v>
      </c>
      <c r="CQ2" s="35"/>
    </row>
    <row r="3" spans="1:95" ht="20.100000000000001" customHeight="1" x14ac:dyDescent="0.3">
      <c r="A3" s="93"/>
      <c r="B3" s="68"/>
      <c r="C3" s="69"/>
      <c r="D3" s="70"/>
      <c r="E3" s="68"/>
      <c r="F3" s="69"/>
      <c r="G3" s="70"/>
      <c r="H3" s="68"/>
      <c r="I3" s="69"/>
      <c r="J3" s="70"/>
      <c r="K3" s="68"/>
      <c r="L3" s="69"/>
      <c r="M3" s="70"/>
      <c r="N3" s="68"/>
      <c r="O3" s="69"/>
      <c r="P3" s="70"/>
      <c r="Q3" s="68"/>
      <c r="R3" s="69"/>
      <c r="S3" s="70"/>
      <c r="T3" s="68"/>
      <c r="U3" s="69"/>
      <c r="V3" s="69"/>
      <c r="W3" s="71"/>
      <c r="X3" s="69"/>
      <c r="Y3" s="70"/>
      <c r="Z3" s="68"/>
      <c r="AA3" s="69"/>
      <c r="AB3" s="70"/>
      <c r="AC3" s="68"/>
      <c r="AD3" s="69"/>
      <c r="AE3" s="70"/>
      <c r="AF3" s="68"/>
      <c r="AG3" s="69"/>
      <c r="AH3" s="70"/>
      <c r="AI3" s="68"/>
      <c r="AJ3" s="69"/>
      <c r="AK3" s="70"/>
      <c r="AL3" s="68"/>
      <c r="AM3" s="69"/>
      <c r="AN3" s="70"/>
      <c r="AO3" s="68"/>
      <c r="AP3" s="69"/>
      <c r="AQ3" s="70"/>
      <c r="AR3" s="68"/>
      <c r="AS3" s="69"/>
      <c r="AT3" s="70"/>
      <c r="AU3" s="68"/>
      <c r="AV3" s="69"/>
      <c r="AW3" s="70"/>
      <c r="AX3" s="68"/>
      <c r="AY3" s="69"/>
      <c r="AZ3" s="70"/>
      <c r="BA3" s="68"/>
      <c r="BB3" s="69"/>
      <c r="BC3" s="70"/>
      <c r="BD3" s="68"/>
      <c r="BE3" s="69"/>
      <c r="BF3" s="72"/>
      <c r="BG3" s="69"/>
      <c r="BH3" s="69"/>
      <c r="BI3" s="70"/>
      <c r="BJ3" s="68"/>
      <c r="BK3" s="69"/>
      <c r="BL3" s="70"/>
      <c r="BM3" s="68"/>
      <c r="BN3" s="69"/>
      <c r="BO3" s="70"/>
      <c r="BP3" s="68"/>
      <c r="BQ3" s="69"/>
      <c r="BR3" s="70"/>
      <c r="BS3" s="68"/>
      <c r="BT3" s="69"/>
      <c r="BU3" s="70"/>
      <c r="BV3" s="68"/>
      <c r="BW3" s="69"/>
      <c r="BX3" s="70"/>
      <c r="BY3" s="68"/>
      <c r="BZ3" s="69"/>
      <c r="CA3" s="70"/>
      <c r="CB3" s="95"/>
      <c r="CC3" s="35"/>
      <c r="CD3" s="35"/>
      <c r="CE3" s="35"/>
      <c r="CF3" s="37" t="s">
        <v>15</v>
      </c>
      <c r="CG3" s="37">
        <v>8</v>
      </c>
      <c r="CH3" s="37">
        <v>7</v>
      </c>
      <c r="CI3" s="37">
        <v>1</v>
      </c>
      <c r="CJ3" s="38">
        <f>CG3*1+CH3*2+CI3*4</f>
        <v>26</v>
      </c>
      <c r="CK3" s="35"/>
      <c r="CL3" s="35"/>
      <c r="CM3" s="37" t="s">
        <v>15</v>
      </c>
      <c r="CN3" s="37">
        <v>8</v>
      </c>
      <c r="CO3" s="37">
        <v>7</v>
      </c>
      <c r="CP3" s="37">
        <v>1</v>
      </c>
      <c r="CQ3" s="38">
        <f>CN3*1+CO3*2+CP3*4</f>
        <v>26</v>
      </c>
    </row>
    <row r="4" spans="1:95" ht="20.100000000000001" customHeight="1" thickBot="1" x14ac:dyDescent="0.35">
      <c r="A4" s="94"/>
      <c r="B4" s="73"/>
      <c r="C4" s="74"/>
      <c r="D4" s="75"/>
      <c r="E4" s="73"/>
      <c r="F4" s="74"/>
      <c r="G4" s="75"/>
      <c r="H4" s="73"/>
      <c r="I4" s="74"/>
      <c r="J4" s="75"/>
      <c r="K4" s="73"/>
      <c r="L4" s="74"/>
      <c r="M4" s="75"/>
      <c r="N4" s="73"/>
      <c r="O4" s="74"/>
      <c r="P4" s="75"/>
      <c r="Q4" s="73"/>
      <c r="R4" s="74"/>
      <c r="S4" s="75"/>
      <c r="T4" s="73"/>
      <c r="U4" s="74"/>
      <c r="V4" s="74"/>
      <c r="W4" s="76"/>
      <c r="X4" s="77"/>
      <c r="Y4" s="78"/>
      <c r="Z4" s="73"/>
      <c r="AA4" s="74"/>
      <c r="AB4" s="75"/>
      <c r="AC4" s="73"/>
      <c r="AD4" s="74"/>
      <c r="AE4" s="75"/>
      <c r="AF4" s="73"/>
      <c r="AG4" s="74"/>
      <c r="AH4" s="75"/>
      <c r="AI4" s="73"/>
      <c r="AJ4" s="74"/>
      <c r="AK4" s="75"/>
      <c r="AL4" s="73"/>
      <c r="AM4" s="74"/>
      <c r="AN4" s="75"/>
      <c r="AO4" s="73"/>
      <c r="AP4" s="74"/>
      <c r="AQ4" s="75"/>
      <c r="AR4" s="73"/>
      <c r="AS4" s="74"/>
      <c r="AT4" s="75"/>
      <c r="AU4" s="73"/>
      <c r="AV4" s="74"/>
      <c r="AW4" s="75"/>
      <c r="AX4" s="73"/>
      <c r="AY4" s="74"/>
      <c r="AZ4" s="75"/>
      <c r="BA4" s="73"/>
      <c r="BB4" s="74"/>
      <c r="BC4" s="75"/>
      <c r="BD4" s="79"/>
      <c r="BE4" s="77"/>
      <c r="BF4" s="80"/>
      <c r="BG4" s="74"/>
      <c r="BH4" s="74"/>
      <c r="BI4" s="75"/>
      <c r="BJ4" s="73"/>
      <c r="BK4" s="74"/>
      <c r="BL4" s="75"/>
      <c r="BM4" s="73"/>
      <c r="BN4" s="74"/>
      <c r="BO4" s="75"/>
      <c r="BP4" s="73"/>
      <c r="BQ4" s="74"/>
      <c r="BR4" s="75"/>
      <c r="BS4" s="73"/>
      <c r="BT4" s="74"/>
      <c r="BU4" s="75"/>
      <c r="BV4" s="73"/>
      <c r="BW4" s="74"/>
      <c r="BX4" s="75"/>
      <c r="BY4" s="73"/>
      <c r="BZ4" s="74"/>
      <c r="CA4" s="75"/>
      <c r="CB4" s="96"/>
      <c r="CC4" s="35"/>
      <c r="CD4" s="35"/>
      <c r="CE4" s="35"/>
      <c r="CF4" s="37" t="s">
        <v>16</v>
      </c>
      <c r="CG4" s="37">
        <f>SUM(CG5:CG7)</f>
        <v>0</v>
      </c>
      <c r="CH4" s="37">
        <f>SUM(CH5:CH7)</f>
        <v>0</v>
      </c>
      <c r="CI4" s="37">
        <f>IF(SUM(CI5:CI7)&lt;CI3,CI3,SUM(CI5:CI7))</f>
        <v>1</v>
      </c>
      <c r="CJ4" s="38">
        <f>CG4*1+CH4*2+CI4*4</f>
        <v>4</v>
      </c>
      <c r="CK4" s="35"/>
      <c r="CL4" s="35"/>
      <c r="CM4" s="37" t="s">
        <v>16</v>
      </c>
      <c r="CN4" s="37">
        <f>SUM(CN5:CN7)</f>
        <v>0</v>
      </c>
      <c r="CO4" s="37">
        <f>SUM(CO5:CO7)</f>
        <v>0</v>
      </c>
      <c r="CP4" s="37">
        <f>IF(SUM(CP5:CP7)&lt;CP3,CP3,SUM(CP5:CP7))</f>
        <v>1</v>
      </c>
      <c r="CQ4" s="38">
        <f>CN4*1+CO4*2+CP4*4</f>
        <v>4</v>
      </c>
    </row>
    <row r="5" spans="1:95" ht="20.100000000000001" customHeight="1" x14ac:dyDescent="0.3">
      <c r="A5" s="92"/>
      <c r="B5" s="63"/>
      <c r="C5" s="64"/>
      <c r="D5" s="65"/>
      <c r="E5" s="63"/>
      <c r="F5" s="64"/>
      <c r="G5" s="65"/>
      <c r="H5" s="63"/>
      <c r="I5" s="64"/>
      <c r="J5" s="65"/>
      <c r="K5" s="63"/>
      <c r="L5" s="64"/>
      <c r="M5" s="65"/>
      <c r="N5" s="63"/>
      <c r="O5" s="64"/>
      <c r="P5" s="65"/>
      <c r="Q5" s="63"/>
      <c r="R5" s="64"/>
      <c r="S5" s="65"/>
      <c r="T5" s="63"/>
      <c r="U5" s="64"/>
      <c r="V5" s="65"/>
      <c r="W5" s="81"/>
      <c r="X5" s="82"/>
      <c r="Y5" s="83"/>
      <c r="Z5" s="64"/>
      <c r="AA5" s="64"/>
      <c r="AB5" s="65"/>
      <c r="AC5" s="63"/>
      <c r="AD5" s="64"/>
      <c r="AE5" s="65"/>
      <c r="AF5" s="63"/>
      <c r="AG5" s="64"/>
      <c r="AH5" s="65"/>
      <c r="AI5" s="63"/>
      <c r="AJ5" s="64"/>
      <c r="AK5" s="65"/>
      <c r="AL5" s="63"/>
      <c r="AM5" s="64"/>
      <c r="AN5" s="65"/>
      <c r="AO5" s="63"/>
      <c r="AP5" s="64"/>
      <c r="AQ5" s="65"/>
      <c r="AR5" s="63"/>
      <c r="AS5" s="64"/>
      <c r="AT5" s="65"/>
      <c r="AU5" s="63"/>
      <c r="AV5" s="64"/>
      <c r="AW5" s="65"/>
      <c r="AX5" s="63"/>
      <c r="AY5" s="64"/>
      <c r="AZ5" s="65"/>
      <c r="BA5" s="63"/>
      <c r="BB5" s="64"/>
      <c r="BC5" s="64"/>
      <c r="BD5" s="71"/>
      <c r="BE5" s="69"/>
      <c r="BF5" s="70"/>
      <c r="BG5" s="63"/>
      <c r="BH5" s="64"/>
      <c r="BI5" s="65"/>
      <c r="BJ5" s="63"/>
      <c r="BK5" s="64"/>
      <c r="BL5" s="65"/>
      <c r="BM5" s="63"/>
      <c r="BN5" s="64"/>
      <c r="BO5" s="65"/>
      <c r="BP5" s="63"/>
      <c r="BQ5" s="64"/>
      <c r="BR5" s="65"/>
      <c r="BS5" s="63"/>
      <c r="BT5" s="64"/>
      <c r="BU5" s="65"/>
      <c r="BV5" s="63"/>
      <c r="BW5" s="64"/>
      <c r="BX5" s="65"/>
      <c r="BY5" s="63"/>
      <c r="BZ5" s="64"/>
      <c r="CA5" s="65"/>
      <c r="CB5" s="91"/>
      <c r="CC5" s="35"/>
      <c r="CD5" s="35"/>
      <c r="CE5" s="35"/>
      <c r="CF5" s="37" t="s">
        <v>46</v>
      </c>
      <c r="CG5" s="37">
        <f>COUNTIF(Region1,CG2)</f>
        <v>0</v>
      </c>
      <c r="CH5" s="37">
        <f>COUNTIF(Region1,CH2)</f>
        <v>0</v>
      </c>
      <c r="CI5" s="37">
        <f>COUNTIF(Region1,CI2)</f>
        <v>0</v>
      </c>
      <c r="CJ5" s="38">
        <f>CG5*1+CH5*2+CI5*4</f>
        <v>0</v>
      </c>
      <c r="CK5" s="35"/>
      <c r="CL5" s="35"/>
      <c r="CM5" s="37" t="s">
        <v>46</v>
      </c>
      <c r="CN5" s="37">
        <f>COUNTIF(Region6,CN2)</f>
        <v>0</v>
      </c>
      <c r="CO5" s="37">
        <f>COUNTIF(Region6,CO2)</f>
        <v>0</v>
      </c>
      <c r="CP5" s="37">
        <f>COUNTIF(Region6,CP2)</f>
        <v>0</v>
      </c>
      <c r="CQ5" s="38">
        <f>CN5*1+CO5*2+CP5*4</f>
        <v>0</v>
      </c>
    </row>
    <row r="6" spans="1:95" ht="20.100000000000001" customHeight="1" x14ac:dyDescent="0.3">
      <c r="A6" s="93"/>
      <c r="B6" s="68"/>
      <c r="C6" s="69"/>
      <c r="D6" s="70"/>
      <c r="E6" s="68"/>
      <c r="F6" s="69"/>
      <c r="G6" s="70"/>
      <c r="H6" s="68"/>
      <c r="I6" s="69"/>
      <c r="J6" s="70"/>
      <c r="K6" s="68"/>
      <c r="L6" s="69"/>
      <c r="M6" s="70"/>
      <c r="N6" s="68"/>
      <c r="O6" s="69"/>
      <c r="P6" s="70"/>
      <c r="Q6" s="68"/>
      <c r="R6" s="69"/>
      <c r="S6" s="70"/>
      <c r="T6" s="68"/>
      <c r="U6" s="69"/>
      <c r="V6" s="70"/>
      <c r="W6" s="68"/>
      <c r="X6" s="69"/>
      <c r="Y6" s="72"/>
      <c r="Z6" s="69"/>
      <c r="AA6" s="69"/>
      <c r="AB6" s="70"/>
      <c r="AC6" s="68"/>
      <c r="AD6" s="69"/>
      <c r="AE6" s="70"/>
      <c r="AF6" s="68"/>
      <c r="AG6" s="69"/>
      <c r="AH6" s="70"/>
      <c r="AI6" s="68"/>
      <c r="AJ6" s="69"/>
      <c r="AK6" s="70"/>
      <c r="AL6" s="68"/>
      <c r="AM6" s="69"/>
      <c r="AN6" s="70"/>
      <c r="AO6" s="68"/>
      <c r="AP6" s="69"/>
      <c r="AQ6" s="70"/>
      <c r="AR6" s="68"/>
      <c r="AS6" s="69"/>
      <c r="AT6" s="70"/>
      <c r="AU6" s="68"/>
      <c r="AV6" s="69"/>
      <c r="AW6" s="70"/>
      <c r="AX6" s="68"/>
      <c r="AY6" s="69"/>
      <c r="AZ6" s="70"/>
      <c r="BA6" s="68"/>
      <c r="BB6" s="69"/>
      <c r="BC6" s="69"/>
      <c r="BD6" s="71"/>
      <c r="BE6" s="69"/>
      <c r="BF6" s="70"/>
      <c r="BG6" s="68"/>
      <c r="BH6" s="69"/>
      <c r="BI6" s="70"/>
      <c r="BJ6" s="68"/>
      <c r="BK6" s="69"/>
      <c r="BL6" s="70"/>
      <c r="BM6" s="68"/>
      <c r="BN6" s="69"/>
      <c r="BO6" s="70"/>
      <c r="BP6" s="68"/>
      <c r="BQ6" s="69"/>
      <c r="BR6" s="70"/>
      <c r="BS6" s="68"/>
      <c r="BT6" s="69"/>
      <c r="BU6" s="70"/>
      <c r="BV6" s="68"/>
      <c r="BW6" s="69"/>
      <c r="BX6" s="70"/>
      <c r="BY6" s="68"/>
      <c r="BZ6" s="69"/>
      <c r="CA6" s="70"/>
      <c r="CB6" s="95"/>
      <c r="CC6" s="35"/>
      <c r="CD6" s="35"/>
      <c r="CE6" s="35"/>
      <c r="CF6" s="37" t="s">
        <v>48</v>
      </c>
      <c r="CG6" s="37">
        <f>SUM(COUNTIF(Region1,CONCATENATE(CG2," *",$CL6)),COUNTIF(Region1,CONCATENATE(CG2,"c *",$CL6)))-CG7</f>
        <v>0</v>
      </c>
      <c r="CH6" s="37">
        <f>SUM(COUNTIF(Region1,CONCATENATE(CH2," *",$CL6)),COUNTIF(Region1,CONCATENATE(CH2,"c *",$CL6)))-CH7</f>
        <v>0</v>
      </c>
      <c r="CI6" s="37">
        <f>SUM(COUNTIF(Region1,CONCATENATE(CI2," *",$CL6)),COUNTIF(Region1,CONCATENATE(CI2,"c *",$CL6)))-CI7</f>
        <v>0</v>
      </c>
      <c r="CJ6" s="38">
        <f>CG6*1+CH6*2+CI6*4</f>
        <v>0</v>
      </c>
      <c r="CK6" s="35"/>
      <c r="CL6" s="35"/>
      <c r="CM6" s="37" t="s">
        <v>48</v>
      </c>
      <c r="CN6" s="37">
        <f>SUM(COUNTIF(Region6,CONCATENATE(CN2," *",$CL6)),COUNTIF(Region6,CONCATENATE(CN2,"c *",$CL6)))-CN7</f>
        <v>0</v>
      </c>
      <c r="CO6" s="37">
        <f>SUM(COUNTIF(Region6,CONCATENATE(CO2," *",$CL6)),COUNTIF(Region6,CONCATENATE(CO2,"c *",$CL6)))-CO7</f>
        <v>0</v>
      </c>
      <c r="CP6" s="37">
        <f>SUM(COUNTIF(Region6,CONCATENATE(CP2," *",$CL6)),COUNTIF(Region6,CONCATENATE(CP2,"c *",$CL6)))-CP7</f>
        <v>0</v>
      </c>
      <c r="CQ6" s="38">
        <f>CN6*1+CO6*2+CP6*4</f>
        <v>0</v>
      </c>
    </row>
    <row r="7" spans="1:95" ht="20.100000000000001" customHeight="1" x14ac:dyDescent="0.3">
      <c r="A7" s="94"/>
      <c r="B7" s="73"/>
      <c r="C7" s="74"/>
      <c r="D7" s="75"/>
      <c r="E7" s="73"/>
      <c r="F7" s="74"/>
      <c r="G7" s="75"/>
      <c r="H7" s="73"/>
      <c r="I7" s="74"/>
      <c r="J7" s="75"/>
      <c r="K7" s="73"/>
      <c r="L7" s="74"/>
      <c r="M7" s="75"/>
      <c r="N7" s="73"/>
      <c r="O7" s="74"/>
      <c r="P7" s="75"/>
      <c r="Q7" s="73"/>
      <c r="R7" s="74"/>
      <c r="S7" s="75"/>
      <c r="T7" s="73"/>
      <c r="U7" s="74"/>
      <c r="V7" s="75"/>
      <c r="W7" s="73"/>
      <c r="X7" s="74"/>
      <c r="Y7" s="84"/>
      <c r="Z7" s="74"/>
      <c r="AA7" s="74"/>
      <c r="AB7" s="75"/>
      <c r="AC7" s="73"/>
      <c r="AD7" s="74"/>
      <c r="AE7" s="75"/>
      <c r="AF7" s="73"/>
      <c r="AG7" s="74"/>
      <c r="AH7" s="75"/>
      <c r="AI7" s="73"/>
      <c r="AJ7" s="74"/>
      <c r="AK7" s="75"/>
      <c r="AL7" s="73"/>
      <c r="AM7" s="74"/>
      <c r="AN7" s="75"/>
      <c r="AO7" s="73"/>
      <c r="AP7" s="74"/>
      <c r="AQ7" s="75"/>
      <c r="AR7" s="73"/>
      <c r="AS7" s="74"/>
      <c r="AT7" s="75"/>
      <c r="AU7" s="73"/>
      <c r="AV7" s="74"/>
      <c r="AW7" s="75"/>
      <c r="AX7" s="73"/>
      <c r="AY7" s="74"/>
      <c r="AZ7" s="75"/>
      <c r="BA7" s="73"/>
      <c r="BB7" s="74"/>
      <c r="BC7" s="74"/>
      <c r="BD7" s="85"/>
      <c r="BE7" s="74"/>
      <c r="BF7" s="75"/>
      <c r="BG7" s="73"/>
      <c r="BH7" s="74"/>
      <c r="BI7" s="75"/>
      <c r="BJ7" s="73"/>
      <c r="BK7" s="74"/>
      <c r="BL7" s="75"/>
      <c r="BM7" s="73"/>
      <c r="BN7" s="74"/>
      <c r="BO7" s="75"/>
      <c r="BP7" s="73"/>
      <c r="BQ7" s="74"/>
      <c r="BR7" s="75"/>
      <c r="BS7" s="73"/>
      <c r="BT7" s="74"/>
      <c r="BU7" s="75"/>
      <c r="BV7" s="73"/>
      <c r="BW7" s="74"/>
      <c r="BX7" s="75"/>
      <c r="BY7" s="73"/>
      <c r="BZ7" s="74"/>
      <c r="CA7" s="75"/>
      <c r="CB7" s="96"/>
      <c r="CC7" s="35"/>
      <c r="CD7" s="35"/>
      <c r="CE7" s="39" t="s">
        <v>17</v>
      </c>
      <c r="CF7" s="37" t="s">
        <v>44</v>
      </c>
      <c r="CG7" s="37">
        <f>SUM(COUNTIF(Region1,CONCATENATE(CG2," ",$CE7)),COUNTIF(Region1,CONCATENATE(CG2,"c ",$CE7)))</f>
        <v>0</v>
      </c>
      <c r="CH7" s="37">
        <f>SUM(COUNTIF(Region1,CONCATENATE(CH2," ",$CE7)),COUNTIF(Region1,CONCATENATE(CH2,"c ",$CE7)))</f>
        <v>0</v>
      </c>
      <c r="CI7" s="37">
        <f>SUM(COUNTIF(Region1,CONCATENATE(CI2," ",$CE7)),COUNTIF(Region1,CONCATENATE(CI2,"c ",$CE7)))</f>
        <v>0</v>
      </c>
      <c r="CJ7" s="38">
        <f>CG7*1+CH7*2+CI7*4</f>
        <v>0</v>
      </c>
      <c r="CK7" s="35"/>
      <c r="CL7" s="39" t="s">
        <v>38</v>
      </c>
      <c r="CM7" s="37" t="s">
        <v>44</v>
      </c>
      <c r="CN7" s="37">
        <f>SUM(COUNTIF(Region6,CONCATENATE(CN2," ",$CL7)),COUNTIF(Region6,CONCATENATE(CN2,"c ",$CL7)))</f>
        <v>0</v>
      </c>
      <c r="CO7" s="37">
        <f>SUM(COUNTIF(Region6,CONCATENATE(CO2," ",$CL7)),COUNTIF(Region6,CONCATENATE(CO2,"c ",$CL7)))</f>
        <v>0</v>
      </c>
      <c r="CP7" s="37">
        <f>SUM(COUNTIF(Region6,CONCATENATE(CP2," ",$CL7)),COUNTIF(Region6,CONCATENATE(CP2,"c ",$CL7)))</f>
        <v>0</v>
      </c>
      <c r="CQ7" s="38">
        <f>CN7*1+CO7*2+CP7*4</f>
        <v>0</v>
      </c>
    </row>
    <row r="8" spans="1:95" ht="20.100000000000001" customHeight="1" x14ac:dyDescent="0.3">
      <c r="A8" s="92"/>
      <c r="B8" s="63"/>
      <c r="C8" s="64"/>
      <c r="D8" s="65"/>
      <c r="E8" s="63"/>
      <c r="F8" s="64"/>
      <c r="G8" s="65"/>
      <c r="H8" s="63"/>
      <c r="I8" s="64"/>
      <c r="J8" s="65"/>
      <c r="K8" s="63"/>
      <c r="L8" s="64"/>
      <c r="M8" s="65"/>
      <c r="N8" s="63"/>
      <c r="O8" s="64"/>
      <c r="P8" s="65"/>
      <c r="Q8" s="63"/>
      <c r="R8" s="64"/>
      <c r="S8" s="65"/>
      <c r="T8" s="63"/>
      <c r="U8" s="64"/>
      <c r="V8" s="65"/>
      <c r="W8" s="63"/>
      <c r="X8" s="64"/>
      <c r="Y8" s="67"/>
      <c r="Z8" s="64"/>
      <c r="AA8" s="64"/>
      <c r="AB8" s="65"/>
      <c r="AC8" s="63"/>
      <c r="AD8" s="64"/>
      <c r="AE8" s="65"/>
      <c r="AF8" s="63"/>
      <c r="AG8" s="64"/>
      <c r="AH8" s="65"/>
      <c r="AI8" s="63"/>
      <c r="AJ8" s="64"/>
      <c r="AK8" s="65"/>
      <c r="AL8" s="63"/>
      <c r="AM8" s="64"/>
      <c r="AN8" s="65"/>
      <c r="AO8" s="63"/>
      <c r="AP8" s="64"/>
      <c r="AQ8" s="65"/>
      <c r="AR8" s="63"/>
      <c r="AS8" s="64"/>
      <c r="AT8" s="65"/>
      <c r="AU8" s="63"/>
      <c r="AV8" s="64"/>
      <c r="AW8" s="65"/>
      <c r="AX8" s="63"/>
      <c r="AY8" s="64"/>
      <c r="AZ8" s="65"/>
      <c r="BA8" s="63"/>
      <c r="BB8" s="64"/>
      <c r="BC8" s="64"/>
      <c r="BD8" s="66"/>
      <c r="BE8" s="64"/>
      <c r="BF8" s="65"/>
      <c r="BG8" s="63"/>
      <c r="BH8" s="64"/>
      <c r="BI8" s="65"/>
      <c r="BJ8" s="63"/>
      <c r="BK8" s="64"/>
      <c r="BL8" s="65"/>
      <c r="BM8" s="63"/>
      <c r="BN8" s="64"/>
      <c r="BO8" s="65"/>
      <c r="BP8" s="63"/>
      <c r="BQ8" s="64"/>
      <c r="BR8" s="65"/>
      <c r="BS8" s="63"/>
      <c r="BT8" s="64"/>
      <c r="BU8" s="65"/>
      <c r="BV8" s="63"/>
      <c r="BW8" s="64"/>
      <c r="BX8" s="65"/>
      <c r="BY8" s="63"/>
      <c r="BZ8" s="64"/>
      <c r="CA8" s="65"/>
      <c r="CB8" s="91"/>
      <c r="CC8" s="35"/>
      <c r="CD8" s="35"/>
      <c r="CE8" s="35"/>
      <c r="CF8" s="37" t="s">
        <v>31</v>
      </c>
      <c r="CG8" s="37">
        <f>SUM(COUNTIF(Region1,"# "),COUNTIF(Region1,"#"),COUNTIF(Region1,"P"),COUNTIF(Region1,"US"),COUNTIF(Region1,"US c"))</f>
        <v>0</v>
      </c>
      <c r="CH8" s="37" t="s">
        <v>45</v>
      </c>
      <c r="CI8" s="40">
        <f>SUM(CG4:CI4,CG8:CG9)/CF2</f>
        <v>1.5151515151515152E-2</v>
      </c>
      <c r="CJ8" s="35"/>
      <c r="CK8" s="35"/>
      <c r="CL8" s="35"/>
      <c r="CM8" s="37" t="s">
        <v>31</v>
      </c>
      <c r="CN8" s="37">
        <f>SUM(COUNTIF(Region6,"# "),COUNTIF(Region6,"#"),COUNTIF(Region6,"P"),COUNTIF(Region6,"US"),COUNTIF(Region6,"US c"))</f>
        <v>0</v>
      </c>
      <c r="CO8" s="37" t="s">
        <v>45</v>
      </c>
      <c r="CP8" s="40">
        <f>SUM(CN4:CP4,CN8:CN9)/CM2</f>
        <v>1.5625E-2</v>
      </c>
      <c r="CQ8" s="35"/>
    </row>
    <row r="9" spans="1:95" ht="20.100000000000001" customHeight="1" x14ac:dyDescent="0.3">
      <c r="A9" s="93"/>
      <c r="B9" s="68"/>
      <c r="C9" s="69"/>
      <c r="D9" s="70"/>
      <c r="E9" s="68"/>
      <c r="F9" s="69"/>
      <c r="G9" s="70"/>
      <c r="H9" s="68"/>
      <c r="I9" s="69"/>
      <c r="J9" s="70"/>
      <c r="K9" s="68"/>
      <c r="L9" s="69"/>
      <c r="M9" s="70"/>
      <c r="N9" s="68"/>
      <c r="O9" s="69"/>
      <c r="P9" s="70"/>
      <c r="Q9" s="68"/>
      <c r="R9" s="69"/>
      <c r="S9" s="70"/>
      <c r="T9" s="68"/>
      <c r="U9" s="69"/>
      <c r="V9" s="70"/>
      <c r="W9" s="68"/>
      <c r="X9" s="69"/>
      <c r="Y9" s="72"/>
      <c r="Z9" s="69"/>
      <c r="AA9" s="69"/>
      <c r="AB9" s="70"/>
      <c r="AC9" s="68"/>
      <c r="AD9" s="69"/>
      <c r="AE9" s="70"/>
      <c r="AF9" s="68"/>
      <c r="AG9" s="69"/>
      <c r="AH9" s="70"/>
      <c r="AI9" s="68"/>
      <c r="AJ9" s="69"/>
      <c r="AK9" s="70"/>
      <c r="AL9" s="68"/>
      <c r="AM9" s="69"/>
      <c r="AN9" s="70"/>
      <c r="AO9" s="68"/>
      <c r="AP9" s="69"/>
      <c r="AQ9" s="70"/>
      <c r="AR9" s="68"/>
      <c r="AS9" s="69"/>
      <c r="AT9" s="70"/>
      <c r="AU9" s="68"/>
      <c r="AV9" s="69"/>
      <c r="AW9" s="70"/>
      <c r="AX9" s="68"/>
      <c r="AY9" s="69"/>
      <c r="AZ9" s="70"/>
      <c r="BA9" s="68"/>
      <c r="BB9" s="69"/>
      <c r="BC9" s="69"/>
      <c r="BD9" s="71"/>
      <c r="BE9" s="69"/>
      <c r="BF9" s="70"/>
      <c r="BG9" s="68"/>
      <c r="BH9" s="69"/>
      <c r="BI9" s="70"/>
      <c r="BJ9" s="68"/>
      <c r="BK9" s="69"/>
      <c r="BL9" s="70"/>
      <c r="BM9" s="68"/>
      <c r="BN9" s="69"/>
      <c r="BO9" s="70"/>
      <c r="BP9" s="68"/>
      <c r="BQ9" s="69"/>
      <c r="BR9" s="70"/>
      <c r="BS9" s="68"/>
      <c r="BT9" s="69"/>
      <c r="BU9" s="70"/>
      <c r="BV9" s="68"/>
      <c r="BW9" s="69"/>
      <c r="BX9" s="70"/>
      <c r="BY9" s="68"/>
      <c r="BZ9" s="69"/>
      <c r="CA9" s="70"/>
      <c r="CB9" s="95"/>
      <c r="CC9" s="35"/>
      <c r="CD9" s="35"/>
      <c r="CE9" s="35"/>
      <c r="CF9" s="37" t="s">
        <v>28</v>
      </c>
      <c r="CG9" s="37"/>
      <c r="CH9" s="37" t="s">
        <v>30</v>
      </c>
      <c r="CI9" s="37">
        <f>CF2-SUM(CG4:CI4)-SUM(CG8:CG9)</f>
        <v>65</v>
      </c>
      <c r="CJ9" s="35"/>
      <c r="CK9" s="35"/>
      <c r="CL9" s="35"/>
      <c r="CM9" s="37" t="s">
        <v>28</v>
      </c>
      <c r="CN9" s="37"/>
      <c r="CO9" s="37" t="s">
        <v>30</v>
      </c>
      <c r="CP9" s="37">
        <f>CM2-SUM(CN4:CP4)-SUM(CN8:CN9)</f>
        <v>63</v>
      </c>
      <c r="CQ9" s="35"/>
    </row>
    <row r="10" spans="1:95" ht="20.100000000000001" customHeight="1" x14ac:dyDescent="0.3">
      <c r="A10" s="94"/>
      <c r="B10" s="73"/>
      <c r="C10" s="74"/>
      <c r="D10" s="75"/>
      <c r="E10" s="73"/>
      <c r="F10" s="74"/>
      <c r="G10" s="75"/>
      <c r="H10" s="73"/>
      <c r="I10" s="74"/>
      <c r="J10" s="75"/>
      <c r="K10" s="73"/>
      <c r="L10" s="74"/>
      <c r="M10" s="75"/>
      <c r="N10" s="73"/>
      <c r="O10" s="74"/>
      <c r="P10" s="75"/>
      <c r="Q10" s="73"/>
      <c r="R10" s="74"/>
      <c r="S10" s="75"/>
      <c r="T10" s="73"/>
      <c r="U10" s="74"/>
      <c r="V10" s="75"/>
      <c r="W10" s="73"/>
      <c r="X10" s="74"/>
      <c r="Y10" s="84"/>
      <c r="Z10" s="74"/>
      <c r="AA10" s="74"/>
      <c r="AB10" s="75"/>
      <c r="AC10" s="73"/>
      <c r="AD10" s="74"/>
      <c r="AE10" s="75"/>
      <c r="AF10" s="73"/>
      <c r="AG10" s="74"/>
      <c r="AH10" s="75"/>
      <c r="AI10" s="73"/>
      <c r="AJ10" s="74"/>
      <c r="AK10" s="75"/>
      <c r="AL10" s="73"/>
      <c r="AM10" s="74"/>
      <c r="AN10" s="75"/>
      <c r="AO10" s="73"/>
      <c r="AP10" s="74"/>
      <c r="AQ10" s="75"/>
      <c r="AR10" s="73"/>
      <c r="AS10" s="74"/>
      <c r="AT10" s="75"/>
      <c r="AU10" s="73"/>
      <c r="AV10" s="74"/>
      <c r="AW10" s="75"/>
      <c r="AX10" s="73"/>
      <c r="AY10" s="74"/>
      <c r="AZ10" s="75"/>
      <c r="BA10" s="73"/>
      <c r="BB10" s="74"/>
      <c r="BC10" s="74"/>
      <c r="BD10" s="85"/>
      <c r="BE10" s="74"/>
      <c r="BF10" s="75"/>
      <c r="BG10" s="73"/>
      <c r="BH10" s="74"/>
      <c r="BI10" s="75"/>
      <c r="BJ10" s="73"/>
      <c r="BK10" s="74"/>
      <c r="BL10" s="75"/>
      <c r="BM10" s="73"/>
      <c r="BN10" s="74"/>
      <c r="BO10" s="75"/>
      <c r="BP10" s="73"/>
      <c r="BQ10" s="74"/>
      <c r="BR10" s="75"/>
      <c r="BS10" s="73"/>
      <c r="BT10" s="74"/>
      <c r="BU10" s="75"/>
      <c r="BV10" s="73"/>
      <c r="BW10" s="74"/>
      <c r="BX10" s="75"/>
      <c r="BY10" s="73"/>
      <c r="BZ10" s="74"/>
      <c r="CA10" s="75"/>
      <c r="CB10" s="96"/>
      <c r="CC10" s="35"/>
      <c r="CD10" s="35"/>
      <c r="CE10" s="35"/>
      <c r="CF10" s="37" t="s">
        <v>29</v>
      </c>
      <c r="CG10" s="41">
        <f>IFERROR((SUM($CG3:$CH3)-SUM($CG4:$CH4))*(CG3-CG4)/(SUM($CG3:$CH3)-SUM($CG4:$CH4))*$CG9/($CF2-SUM($CG4:$CI4)-$CG8),0)</f>
        <v>0</v>
      </c>
      <c r="CH10" s="41">
        <f>IFERROR((SUM($CG3:$CH3)-SUM($CG4:$CH4))*(CH3-CH4)/(SUM($CG3:$CH3)-SUM($CG4:$CH4))*$CG9/($CF2-SUM($CG4:$CI4)-$CG8),0)</f>
        <v>0</v>
      </c>
      <c r="CI10" s="38">
        <f>ROUNDDOWN(CG10,0)+ROUNDDOWN(CH10,0)*2</f>
        <v>0</v>
      </c>
      <c r="CJ10" s="35"/>
      <c r="CK10" s="35"/>
      <c r="CL10" s="35"/>
      <c r="CM10" s="37" t="s">
        <v>29</v>
      </c>
      <c r="CN10" s="41">
        <f>IFERROR((SUM($CN3:$CO3)-SUM($CN4:$CO4))*(CN3-CN4)/(SUM($CN3:$CO3)-SUM($CN4:$CO4))*$CN9/($CM2-SUM($CN4:$CP4)-$CN8),0)</f>
        <v>0</v>
      </c>
      <c r="CO10" s="41">
        <f>IFERROR((SUM($CN3:$CO3)-SUM($CN4:$CO4))*(CO3-CO4)/(SUM($CN3:$CO3)-SUM($CN4:$CO4))*$CN9/($CM2-SUM($CN4:$CP4)-$CN8),0)</f>
        <v>0</v>
      </c>
      <c r="CP10" s="38">
        <f>ROUNDDOWN(CN10,0)+ROUNDDOWN(CO10,0)*2</f>
        <v>0</v>
      </c>
      <c r="CQ10" s="35"/>
    </row>
    <row r="11" spans="1:95" ht="20.100000000000001" customHeight="1" x14ac:dyDescent="0.25">
      <c r="A11" s="92"/>
      <c r="B11" s="63"/>
      <c r="C11" s="64"/>
      <c r="D11" s="65"/>
      <c r="E11" s="63"/>
      <c r="F11" s="64"/>
      <c r="G11" s="65"/>
      <c r="H11" s="63"/>
      <c r="I11" s="64"/>
      <c r="J11" s="65"/>
      <c r="K11" s="63"/>
      <c r="L11" s="64"/>
      <c r="M11" s="65"/>
      <c r="N11" s="63"/>
      <c r="O11" s="64"/>
      <c r="P11" s="65"/>
      <c r="Q11" s="63"/>
      <c r="R11" s="64"/>
      <c r="S11" s="65"/>
      <c r="T11" s="63"/>
      <c r="U11" s="64"/>
      <c r="V11" s="65"/>
      <c r="W11" s="63"/>
      <c r="X11" s="64"/>
      <c r="Y11" s="67"/>
      <c r="Z11" s="64"/>
      <c r="AA11" s="64"/>
      <c r="AB11" s="65"/>
      <c r="AC11" s="63"/>
      <c r="AD11" s="64"/>
      <c r="AE11" s="65"/>
      <c r="AF11" s="63"/>
      <c r="AG11" s="64"/>
      <c r="AH11" s="65"/>
      <c r="AI11" s="63"/>
      <c r="AJ11" s="64"/>
      <c r="AK11" s="65"/>
      <c r="AL11" s="63"/>
      <c r="AM11" s="64"/>
      <c r="AN11" s="65"/>
      <c r="AO11" s="63"/>
      <c r="AP11" s="64"/>
      <c r="AQ11" s="65"/>
      <c r="AR11" s="63"/>
      <c r="AS11" s="64"/>
      <c r="AT11" s="65"/>
      <c r="AU11" s="63"/>
      <c r="AV11" s="64"/>
      <c r="AW11" s="65"/>
      <c r="AX11" s="63"/>
      <c r="AY11" s="64"/>
      <c r="AZ11" s="65"/>
      <c r="BA11" s="63"/>
      <c r="BB11" s="64"/>
      <c r="BC11" s="64"/>
      <c r="BD11" s="66"/>
      <c r="BE11" s="64"/>
      <c r="BF11" s="65"/>
      <c r="BG11" s="63"/>
      <c r="BH11" s="64"/>
      <c r="BI11" s="65"/>
      <c r="BJ11" s="63"/>
      <c r="BK11" s="64"/>
      <c r="BL11" s="65"/>
      <c r="BM11" s="63"/>
      <c r="BN11" s="64"/>
      <c r="BO11" s="65"/>
      <c r="BP11" s="63"/>
      <c r="BQ11" s="64"/>
      <c r="BR11" s="65"/>
      <c r="BS11" s="63"/>
      <c r="BT11" s="64"/>
      <c r="BU11" s="65"/>
      <c r="BV11" s="63"/>
      <c r="BW11" s="64"/>
      <c r="BX11" s="65"/>
      <c r="BY11" s="63"/>
      <c r="BZ11" s="64"/>
      <c r="CA11" s="65"/>
      <c r="CB11" s="91"/>
      <c r="CC11" s="35"/>
      <c r="CD11" s="35"/>
      <c r="CE11" s="35"/>
      <c r="CF11" s="36" t="s">
        <v>14</v>
      </c>
      <c r="CG11" s="35"/>
      <c r="CH11" s="35"/>
      <c r="CI11" s="35"/>
      <c r="CJ11" s="36" t="s">
        <v>74</v>
      </c>
      <c r="CK11" s="35"/>
      <c r="CL11" s="35"/>
      <c r="CM11" s="36" t="s">
        <v>14</v>
      </c>
      <c r="CN11" s="35"/>
      <c r="CO11" s="35"/>
      <c r="CP11" s="35"/>
      <c r="CQ11" s="36" t="s">
        <v>74</v>
      </c>
    </row>
    <row r="12" spans="1:95" ht="20.100000000000001" customHeight="1" x14ac:dyDescent="0.3">
      <c r="A12" s="93"/>
      <c r="B12" s="68"/>
      <c r="C12" s="69"/>
      <c r="D12" s="70"/>
      <c r="E12" s="68"/>
      <c r="F12" s="69"/>
      <c r="G12" s="70"/>
      <c r="H12" s="68"/>
      <c r="I12" s="69"/>
      <c r="J12" s="70"/>
      <c r="K12" s="68"/>
      <c r="L12" s="69"/>
      <c r="M12" s="70"/>
      <c r="N12" s="68"/>
      <c r="O12" s="69"/>
      <c r="P12" s="70"/>
      <c r="Q12" s="68"/>
      <c r="R12" s="69"/>
      <c r="S12" s="70"/>
      <c r="T12" s="68"/>
      <c r="U12" s="69"/>
      <c r="V12" s="70"/>
      <c r="W12" s="68"/>
      <c r="X12" s="69"/>
      <c r="Y12" s="72"/>
      <c r="Z12" s="69"/>
      <c r="AA12" s="69"/>
      <c r="AB12" s="70"/>
      <c r="AC12" s="68"/>
      <c r="AD12" s="69"/>
      <c r="AE12" s="70"/>
      <c r="AF12" s="68"/>
      <c r="AG12" s="69"/>
      <c r="AH12" s="70"/>
      <c r="AI12" s="68"/>
      <c r="AJ12" s="69"/>
      <c r="AK12" s="70"/>
      <c r="AL12" s="68"/>
      <c r="AM12" s="69"/>
      <c r="AN12" s="70"/>
      <c r="AO12" s="68"/>
      <c r="AP12" s="69"/>
      <c r="AQ12" s="70"/>
      <c r="AR12" s="68"/>
      <c r="AS12" s="69"/>
      <c r="AT12" s="70"/>
      <c r="AU12" s="68"/>
      <c r="AV12" s="69"/>
      <c r="AW12" s="70"/>
      <c r="AX12" s="68"/>
      <c r="AY12" s="69"/>
      <c r="AZ12" s="70"/>
      <c r="BA12" s="68"/>
      <c r="BB12" s="69"/>
      <c r="BC12" s="69"/>
      <c r="BD12" s="71"/>
      <c r="BE12" s="69"/>
      <c r="BF12" s="70"/>
      <c r="BG12" s="68"/>
      <c r="BH12" s="69"/>
      <c r="BI12" s="70"/>
      <c r="BJ12" s="68"/>
      <c r="BK12" s="69"/>
      <c r="BL12" s="70"/>
      <c r="BM12" s="68"/>
      <c r="BN12" s="69"/>
      <c r="BO12" s="70"/>
      <c r="BP12" s="68"/>
      <c r="BQ12" s="69"/>
      <c r="BR12" s="70"/>
      <c r="BS12" s="68"/>
      <c r="BT12" s="69"/>
      <c r="BU12" s="70"/>
      <c r="BV12" s="68"/>
      <c r="BW12" s="69"/>
      <c r="BX12" s="70"/>
      <c r="BY12" s="68"/>
      <c r="BZ12" s="69"/>
      <c r="CA12" s="70"/>
      <c r="CB12" s="95"/>
      <c r="CC12" s="35"/>
      <c r="CD12" s="35"/>
      <c r="CE12" s="37">
        <v>2</v>
      </c>
      <c r="CF12" s="37">
        <f>COUNTA(Region2)</f>
        <v>67</v>
      </c>
      <c r="CG12" s="37" t="s">
        <v>3</v>
      </c>
      <c r="CH12" s="37" t="s">
        <v>2</v>
      </c>
      <c r="CI12" s="37" t="s">
        <v>0</v>
      </c>
      <c r="CJ12" s="35"/>
      <c r="CK12" s="35"/>
      <c r="CL12" s="37">
        <v>7</v>
      </c>
      <c r="CM12" s="37">
        <f>COUNTA(Region7)</f>
        <v>68</v>
      </c>
      <c r="CN12" s="37" t="s">
        <v>3</v>
      </c>
      <c r="CO12" s="37" t="s">
        <v>2</v>
      </c>
      <c r="CP12" s="37" t="s">
        <v>0</v>
      </c>
      <c r="CQ12" s="35"/>
    </row>
    <row r="13" spans="1:95" ht="20.100000000000001" customHeight="1" x14ac:dyDescent="0.3">
      <c r="A13" s="94"/>
      <c r="B13" s="73"/>
      <c r="C13" s="74"/>
      <c r="D13" s="75"/>
      <c r="E13" s="73"/>
      <c r="F13" s="74"/>
      <c r="G13" s="75"/>
      <c r="H13" s="73"/>
      <c r="I13" s="74"/>
      <c r="J13" s="75"/>
      <c r="K13" s="73"/>
      <c r="L13" s="74"/>
      <c r="M13" s="75"/>
      <c r="N13" s="73"/>
      <c r="O13" s="74"/>
      <c r="P13" s="75"/>
      <c r="Q13" s="73"/>
      <c r="R13" s="74"/>
      <c r="S13" s="75"/>
      <c r="T13" s="73"/>
      <c r="U13" s="74"/>
      <c r="V13" s="75"/>
      <c r="W13" s="73"/>
      <c r="X13" s="74"/>
      <c r="Y13" s="84"/>
      <c r="Z13" s="74"/>
      <c r="AA13" s="74"/>
      <c r="AB13" s="75"/>
      <c r="AC13" s="73"/>
      <c r="AD13" s="74"/>
      <c r="AE13" s="75"/>
      <c r="AF13" s="73"/>
      <c r="AG13" s="74"/>
      <c r="AH13" s="75"/>
      <c r="AI13" s="73"/>
      <c r="AJ13" s="74"/>
      <c r="AK13" s="75"/>
      <c r="AL13" s="73"/>
      <c r="AM13" s="74"/>
      <c r="AN13" s="75"/>
      <c r="AO13" s="73"/>
      <c r="AP13" s="74"/>
      <c r="AQ13" s="75"/>
      <c r="AR13" s="73"/>
      <c r="AS13" s="74"/>
      <c r="AT13" s="75"/>
      <c r="AU13" s="73"/>
      <c r="AV13" s="74"/>
      <c r="AW13" s="75"/>
      <c r="AX13" s="73"/>
      <c r="AY13" s="74"/>
      <c r="AZ13" s="75"/>
      <c r="BA13" s="73"/>
      <c r="BB13" s="74"/>
      <c r="BC13" s="74"/>
      <c r="BD13" s="85"/>
      <c r="BE13" s="74"/>
      <c r="BF13" s="75"/>
      <c r="BG13" s="73"/>
      <c r="BH13" s="74"/>
      <c r="BI13" s="75"/>
      <c r="BJ13" s="73"/>
      <c r="BK13" s="74"/>
      <c r="BL13" s="75"/>
      <c r="BM13" s="73"/>
      <c r="BN13" s="74"/>
      <c r="BO13" s="75"/>
      <c r="BP13" s="73"/>
      <c r="BQ13" s="74"/>
      <c r="BR13" s="75"/>
      <c r="BS13" s="73"/>
      <c r="BT13" s="74"/>
      <c r="BU13" s="75"/>
      <c r="BV13" s="73"/>
      <c r="BW13" s="74"/>
      <c r="BX13" s="75"/>
      <c r="BY13" s="73"/>
      <c r="BZ13" s="74"/>
      <c r="CA13" s="75"/>
      <c r="CB13" s="96"/>
      <c r="CC13" s="35"/>
      <c r="CD13" s="35"/>
      <c r="CE13" s="35"/>
      <c r="CF13" s="37" t="s">
        <v>15</v>
      </c>
      <c r="CG13" s="37">
        <v>8</v>
      </c>
      <c r="CH13" s="37">
        <v>7</v>
      </c>
      <c r="CI13" s="37">
        <v>1</v>
      </c>
      <c r="CJ13" s="38">
        <f>CG13*1+CH13*2+CI13*4</f>
        <v>26</v>
      </c>
      <c r="CK13" s="35"/>
      <c r="CL13" s="35"/>
      <c r="CM13" s="37" t="s">
        <v>15</v>
      </c>
      <c r="CN13" s="37">
        <v>8</v>
      </c>
      <c r="CO13" s="37">
        <v>7</v>
      </c>
      <c r="CP13" s="37">
        <v>1</v>
      </c>
      <c r="CQ13" s="38">
        <f>CN13*1+CO13*2+CP13*4</f>
        <v>26</v>
      </c>
    </row>
    <row r="14" spans="1:95" ht="20.100000000000001" customHeight="1" x14ac:dyDescent="0.3">
      <c r="A14" s="92"/>
      <c r="B14" s="63"/>
      <c r="C14" s="64"/>
      <c r="D14" s="65"/>
      <c r="E14" s="63"/>
      <c r="F14" s="64"/>
      <c r="G14" s="65"/>
      <c r="H14" s="63"/>
      <c r="I14" s="64"/>
      <c r="J14" s="65"/>
      <c r="K14" s="63"/>
      <c r="L14" s="64"/>
      <c r="M14" s="65"/>
      <c r="N14" s="63"/>
      <c r="O14" s="64"/>
      <c r="P14" s="65"/>
      <c r="Q14" s="63"/>
      <c r="R14" s="64"/>
      <c r="S14" s="65"/>
      <c r="T14" s="63"/>
      <c r="U14" s="64"/>
      <c r="V14" s="65"/>
      <c r="W14" s="63"/>
      <c r="X14" s="64"/>
      <c r="Y14" s="67"/>
      <c r="Z14" s="64"/>
      <c r="AA14" s="64"/>
      <c r="AB14" s="65"/>
      <c r="AC14" s="63"/>
      <c r="AD14" s="64"/>
      <c r="AE14" s="65"/>
      <c r="AF14" s="63"/>
      <c r="AG14" s="64"/>
      <c r="AH14" s="65"/>
      <c r="AI14" s="63"/>
      <c r="AJ14" s="64"/>
      <c r="AK14" s="65"/>
      <c r="AL14" s="63"/>
      <c r="AM14" s="64"/>
      <c r="AN14" s="65"/>
      <c r="AO14" s="63"/>
      <c r="AP14" s="64"/>
      <c r="AQ14" s="65"/>
      <c r="AR14" s="63"/>
      <c r="AS14" s="64"/>
      <c r="AT14" s="65"/>
      <c r="AU14" s="63"/>
      <c r="AV14" s="64"/>
      <c r="AW14" s="65"/>
      <c r="AX14" s="63"/>
      <c r="AY14" s="64"/>
      <c r="AZ14" s="65"/>
      <c r="BA14" s="63"/>
      <c r="BB14" s="64"/>
      <c r="BC14" s="64"/>
      <c r="BD14" s="66"/>
      <c r="BE14" s="64"/>
      <c r="BF14" s="65"/>
      <c r="BG14" s="63"/>
      <c r="BH14" s="64"/>
      <c r="BI14" s="65"/>
      <c r="BJ14" s="63"/>
      <c r="BK14" s="64"/>
      <c r="BL14" s="65"/>
      <c r="BM14" s="63"/>
      <c r="BN14" s="64"/>
      <c r="BO14" s="65"/>
      <c r="BP14" s="63"/>
      <c r="BQ14" s="64"/>
      <c r="BR14" s="65"/>
      <c r="BS14" s="63"/>
      <c r="BT14" s="64"/>
      <c r="BU14" s="65"/>
      <c r="BV14" s="63"/>
      <c r="BW14" s="64"/>
      <c r="BX14" s="65"/>
      <c r="BY14" s="63"/>
      <c r="BZ14" s="64"/>
      <c r="CA14" s="65"/>
      <c r="CB14" s="91"/>
      <c r="CC14" s="35"/>
      <c r="CD14" s="35"/>
      <c r="CE14" s="35"/>
      <c r="CF14" s="37" t="s">
        <v>16</v>
      </c>
      <c r="CG14" s="37">
        <f>SUM(CG15:CG17)</f>
        <v>0</v>
      </c>
      <c r="CH14" s="37">
        <f>SUM(CH15:CH17)</f>
        <v>0</v>
      </c>
      <c r="CI14" s="37">
        <f>IF(SUM(CI15:CI17)&lt;CI13,CI13,SUM(CI15:CI17))</f>
        <v>1</v>
      </c>
      <c r="CJ14" s="38">
        <f>CG14*1+CH14*2+CI14*4</f>
        <v>4</v>
      </c>
      <c r="CK14" s="35"/>
      <c r="CL14" s="35"/>
      <c r="CM14" s="37" t="s">
        <v>16</v>
      </c>
      <c r="CN14" s="37">
        <f>SUM(CN15:CN17)</f>
        <v>0</v>
      </c>
      <c r="CO14" s="37">
        <f>SUM(CO15:CO17)</f>
        <v>0</v>
      </c>
      <c r="CP14" s="37">
        <f>IF(SUM(CP15:CP17)&lt;CP13,CP13,SUM(CP15:CP17))</f>
        <v>1</v>
      </c>
      <c r="CQ14" s="38">
        <f>CN14*1+CO14*2+CP14*4</f>
        <v>4</v>
      </c>
    </row>
    <row r="15" spans="1:95" ht="20.100000000000001" customHeight="1" x14ac:dyDescent="0.3">
      <c r="A15" s="93"/>
      <c r="B15" s="68"/>
      <c r="C15" s="69"/>
      <c r="D15" s="70"/>
      <c r="E15" s="68"/>
      <c r="F15" s="69"/>
      <c r="G15" s="70"/>
      <c r="H15" s="68"/>
      <c r="I15" s="69"/>
      <c r="J15" s="70"/>
      <c r="K15" s="68"/>
      <c r="L15" s="69"/>
      <c r="M15" s="70"/>
      <c r="N15" s="68"/>
      <c r="O15" s="69"/>
      <c r="P15" s="70"/>
      <c r="Q15" s="68"/>
      <c r="R15" s="69"/>
      <c r="S15" s="70"/>
      <c r="T15" s="68"/>
      <c r="U15" s="69"/>
      <c r="V15" s="70"/>
      <c r="W15" s="68"/>
      <c r="X15" s="69"/>
      <c r="Y15" s="72"/>
      <c r="Z15" s="69"/>
      <c r="AA15" s="69"/>
      <c r="AB15" s="70"/>
      <c r="AC15" s="68"/>
      <c r="AD15" s="69"/>
      <c r="AE15" s="70"/>
      <c r="AF15" s="68"/>
      <c r="AG15" s="69"/>
      <c r="AH15" s="70"/>
      <c r="AI15" s="68"/>
      <c r="AJ15" s="69"/>
      <c r="AK15" s="70"/>
      <c r="AL15" s="68"/>
      <c r="AM15" s="69"/>
      <c r="AN15" s="70"/>
      <c r="AO15" s="68"/>
      <c r="AP15" s="69"/>
      <c r="AQ15" s="70"/>
      <c r="AR15" s="68"/>
      <c r="AS15" s="69"/>
      <c r="AT15" s="70"/>
      <c r="AU15" s="68"/>
      <c r="AV15" s="69"/>
      <c r="AW15" s="70"/>
      <c r="AX15" s="68"/>
      <c r="AY15" s="69"/>
      <c r="AZ15" s="70"/>
      <c r="BA15" s="68"/>
      <c r="BB15" s="69"/>
      <c r="BC15" s="69"/>
      <c r="BD15" s="71"/>
      <c r="BE15" s="69"/>
      <c r="BF15" s="70"/>
      <c r="BG15" s="68"/>
      <c r="BH15" s="69"/>
      <c r="BI15" s="70"/>
      <c r="BJ15" s="68"/>
      <c r="BK15" s="69"/>
      <c r="BL15" s="70"/>
      <c r="BM15" s="68"/>
      <c r="BN15" s="69"/>
      <c r="BO15" s="70"/>
      <c r="BP15" s="68"/>
      <c r="BQ15" s="69"/>
      <c r="BR15" s="70"/>
      <c r="BS15" s="68"/>
      <c r="BT15" s="69"/>
      <c r="BU15" s="70"/>
      <c r="BV15" s="68"/>
      <c r="BW15" s="69"/>
      <c r="BX15" s="70"/>
      <c r="BY15" s="68"/>
      <c r="BZ15" s="69"/>
      <c r="CA15" s="70"/>
      <c r="CB15" s="95"/>
      <c r="CC15" s="35"/>
      <c r="CD15" s="35"/>
      <c r="CE15" s="35"/>
      <c r="CF15" s="37" t="s">
        <v>46</v>
      </c>
      <c r="CG15" s="37">
        <f>COUNTIF(Region2,CG12)</f>
        <v>0</v>
      </c>
      <c r="CH15" s="37">
        <f>COUNTIF(Region2,CH12)</f>
        <v>0</v>
      </c>
      <c r="CI15" s="37">
        <f>COUNTIF(Region2,CI12)</f>
        <v>0</v>
      </c>
      <c r="CJ15" s="38">
        <f>CG15*1+CH15*2+CI15*4</f>
        <v>0</v>
      </c>
      <c r="CK15" s="35"/>
      <c r="CL15" s="35"/>
      <c r="CM15" s="37" t="s">
        <v>46</v>
      </c>
      <c r="CN15" s="37">
        <f>COUNTIF(Region7,CN12)</f>
        <v>0</v>
      </c>
      <c r="CO15" s="37">
        <f>COUNTIF(Region7,CO12)</f>
        <v>0</v>
      </c>
      <c r="CP15" s="37">
        <f>COUNTIF(Region7,CP12)</f>
        <v>0</v>
      </c>
      <c r="CQ15" s="38">
        <f>CN15*1+CO15*2+CP15*4</f>
        <v>0</v>
      </c>
    </row>
    <row r="16" spans="1:95" ht="20.100000000000001" customHeight="1" x14ac:dyDescent="0.3">
      <c r="A16" s="94"/>
      <c r="B16" s="73"/>
      <c r="C16" s="74"/>
      <c r="D16" s="75"/>
      <c r="E16" s="73"/>
      <c r="F16" s="74"/>
      <c r="G16" s="75"/>
      <c r="H16" s="73"/>
      <c r="I16" s="74"/>
      <c r="J16" s="75"/>
      <c r="K16" s="73"/>
      <c r="L16" s="74"/>
      <c r="M16" s="75"/>
      <c r="N16" s="73"/>
      <c r="O16" s="74"/>
      <c r="P16" s="75"/>
      <c r="Q16" s="73"/>
      <c r="R16" s="74"/>
      <c r="S16" s="75"/>
      <c r="T16" s="73"/>
      <c r="U16" s="74"/>
      <c r="V16" s="75"/>
      <c r="W16" s="73"/>
      <c r="X16" s="74"/>
      <c r="Y16" s="84"/>
      <c r="Z16" s="74"/>
      <c r="AA16" s="74"/>
      <c r="AB16" s="75"/>
      <c r="AC16" s="73"/>
      <c r="AD16" s="74"/>
      <c r="AE16" s="75"/>
      <c r="AF16" s="73"/>
      <c r="AG16" s="74"/>
      <c r="AH16" s="75"/>
      <c r="AI16" s="73"/>
      <c r="AJ16" s="74"/>
      <c r="AK16" s="75"/>
      <c r="AL16" s="73"/>
      <c r="AM16" s="74"/>
      <c r="AN16" s="75"/>
      <c r="AO16" s="73"/>
      <c r="AP16" s="74"/>
      <c r="AQ16" s="75"/>
      <c r="AR16" s="73"/>
      <c r="AS16" s="74"/>
      <c r="AT16" s="75"/>
      <c r="AU16" s="73"/>
      <c r="AV16" s="74"/>
      <c r="AW16" s="75"/>
      <c r="AX16" s="73"/>
      <c r="AY16" s="74"/>
      <c r="AZ16" s="75"/>
      <c r="BA16" s="73"/>
      <c r="BB16" s="74"/>
      <c r="BC16" s="74"/>
      <c r="BD16" s="85"/>
      <c r="BE16" s="74"/>
      <c r="BF16" s="75"/>
      <c r="BG16" s="73"/>
      <c r="BH16" s="74"/>
      <c r="BI16" s="75"/>
      <c r="BJ16" s="73"/>
      <c r="BK16" s="74"/>
      <c r="BL16" s="75"/>
      <c r="BM16" s="73"/>
      <c r="BN16" s="74"/>
      <c r="BO16" s="75"/>
      <c r="BP16" s="73"/>
      <c r="BQ16" s="74"/>
      <c r="BR16" s="75"/>
      <c r="BS16" s="73"/>
      <c r="BT16" s="74"/>
      <c r="BU16" s="75"/>
      <c r="BV16" s="73"/>
      <c r="BW16" s="74"/>
      <c r="BX16" s="75"/>
      <c r="BY16" s="73"/>
      <c r="BZ16" s="74"/>
      <c r="CA16" s="75"/>
      <c r="CB16" s="96"/>
      <c r="CC16" s="35"/>
      <c r="CD16" s="35"/>
      <c r="CE16" s="35"/>
      <c r="CF16" s="37" t="s">
        <v>48</v>
      </c>
      <c r="CG16" s="37">
        <f>SUM(COUNTIF(Region2,CONCATENATE(CG12," *",$CL16)),COUNTIF(Region2,CONCATENATE(CG12,"c *",$CL16)))-CG17</f>
        <v>0</v>
      </c>
      <c r="CH16" s="37">
        <f>SUM(COUNTIF(Region2,CONCATENATE(CH12," *",$CL16)),COUNTIF(Region2,CONCATENATE(CH12,"c *",$CL16)))-CH17</f>
        <v>0</v>
      </c>
      <c r="CI16" s="37">
        <f>SUM(COUNTIF(Region2,CONCATENATE(CI12," *",$CL16)),COUNTIF(Region2,CONCATENATE(CI12,"c *",$CL16)))-CI17</f>
        <v>0</v>
      </c>
      <c r="CJ16" s="38">
        <f>CG16*1+CH16*2+CI16*4</f>
        <v>0</v>
      </c>
      <c r="CK16" s="35"/>
      <c r="CL16" s="35"/>
      <c r="CM16" s="37" t="s">
        <v>48</v>
      </c>
      <c r="CN16" s="37">
        <f>SUM(COUNTIF(Region7,CONCATENATE(CN12," *",$CL16)),COUNTIF(Region7,CONCATENATE(CN12,"c *",$CL16)))-CN17</f>
        <v>0</v>
      </c>
      <c r="CO16" s="37">
        <f>SUM(COUNTIF(Region7,CONCATENATE(CO12," *",$CL16)),COUNTIF(Region7,CONCATENATE(CO12,"c *",$CL16)))-CO17</f>
        <v>0</v>
      </c>
      <c r="CP16" s="37">
        <f>SUM(COUNTIF(Region7,CONCATENATE(CP12," *",$CL16)),COUNTIF(Region7,CONCATENATE(CP12,"c *",$CL16)))-CP17</f>
        <v>0</v>
      </c>
      <c r="CQ16" s="38">
        <f>CN16*1+CO16*2+CP16*4</f>
        <v>0</v>
      </c>
    </row>
    <row r="17" spans="1:95" ht="20.100000000000001" customHeight="1" x14ac:dyDescent="0.3">
      <c r="A17" s="92"/>
      <c r="B17" s="63"/>
      <c r="C17" s="64"/>
      <c r="D17" s="65"/>
      <c r="E17" s="63"/>
      <c r="F17" s="64"/>
      <c r="G17" s="65"/>
      <c r="H17" s="63"/>
      <c r="I17" s="64"/>
      <c r="J17" s="65"/>
      <c r="K17" s="63"/>
      <c r="L17" s="64"/>
      <c r="M17" s="65"/>
      <c r="N17" s="63"/>
      <c r="O17" s="64"/>
      <c r="P17" s="65"/>
      <c r="Q17" s="63"/>
      <c r="R17" s="64"/>
      <c r="S17" s="65"/>
      <c r="T17" s="63"/>
      <c r="U17" s="64"/>
      <c r="V17" s="65"/>
      <c r="W17" s="63"/>
      <c r="X17" s="64"/>
      <c r="Y17" s="67"/>
      <c r="Z17" s="64"/>
      <c r="AA17" s="64"/>
      <c r="AB17" s="65"/>
      <c r="AC17" s="63"/>
      <c r="AD17" s="64"/>
      <c r="AE17" s="65"/>
      <c r="AF17" s="63"/>
      <c r="AG17" s="64"/>
      <c r="AH17" s="65"/>
      <c r="AI17" s="63"/>
      <c r="AJ17" s="64"/>
      <c r="AK17" s="65"/>
      <c r="AL17" s="63"/>
      <c r="AM17" s="64"/>
      <c r="AN17" s="65"/>
      <c r="AO17" s="63"/>
      <c r="AP17" s="64"/>
      <c r="AQ17" s="65"/>
      <c r="AR17" s="63"/>
      <c r="AS17" s="64"/>
      <c r="AT17" s="65"/>
      <c r="AU17" s="63"/>
      <c r="AV17" s="64"/>
      <c r="AW17" s="65"/>
      <c r="AX17" s="63"/>
      <c r="AY17" s="64"/>
      <c r="AZ17" s="65"/>
      <c r="BA17" s="63"/>
      <c r="BB17" s="64"/>
      <c r="BC17" s="64"/>
      <c r="BD17" s="66"/>
      <c r="BE17" s="64"/>
      <c r="BF17" s="65"/>
      <c r="BG17" s="63"/>
      <c r="BH17" s="64"/>
      <c r="BI17" s="65"/>
      <c r="BJ17" s="63"/>
      <c r="BK17" s="64"/>
      <c r="BL17" s="65"/>
      <c r="BM17" s="63"/>
      <c r="BN17" s="64"/>
      <c r="BO17" s="65"/>
      <c r="BP17" s="63"/>
      <c r="BQ17" s="64"/>
      <c r="BR17" s="65"/>
      <c r="BS17" s="63"/>
      <c r="BT17" s="64"/>
      <c r="BU17" s="65"/>
      <c r="BV17" s="63"/>
      <c r="BW17" s="64"/>
      <c r="BX17" s="65"/>
      <c r="BY17" s="63"/>
      <c r="BZ17" s="64"/>
      <c r="CA17" s="65"/>
      <c r="CB17" s="91"/>
      <c r="CC17" s="35"/>
      <c r="CD17" s="35"/>
      <c r="CE17" s="39" t="s">
        <v>19</v>
      </c>
      <c r="CF17" s="37" t="s">
        <v>44</v>
      </c>
      <c r="CG17" s="37">
        <f>SUM(COUNTIF(Region2,CONCATENATE(CG12," ",$CE17)),COUNTIF(Region2,CONCATENATE(CG12,"c ",$CE17)))</f>
        <v>0</v>
      </c>
      <c r="CH17" s="37">
        <f>SUM(COUNTIF(Region2,CONCATENATE(CH12," ",$CE17)),COUNTIF(Region2,CONCATENATE(CH12,"c ",$CE17)))</f>
        <v>0</v>
      </c>
      <c r="CI17" s="37">
        <f>SUM(COUNTIF(Region2,CONCATENATE(CI12," ",$CE17)),COUNTIF(Region2,CONCATENATE(CI12,"c ",$CE17)))</f>
        <v>0</v>
      </c>
      <c r="CJ17" s="38">
        <f>CG17*1+CH17*2+CI17*4</f>
        <v>0</v>
      </c>
      <c r="CK17" s="35"/>
      <c r="CL17" s="39" t="s">
        <v>20</v>
      </c>
      <c r="CM17" s="37" t="s">
        <v>44</v>
      </c>
      <c r="CN17" s="37">
        <f>SUM(COUNTIF(Region7,CONCATENATE(CN12," ",$CL17)),COUNTIF(Region7,CONCATENATE(CN12,"c ",$CL17)))</f>
        <v>0</v>
      </c>
      <c r="CO17" s="37">
        <f>SUM(COUNTIF(Region7,CONCATENATE(CO12," ",$CL17)),COUNTIF(Region7,CONCATENATE(CO12,"c ",$CL17)))</f>
        <v>0</v>
      </c>
      <c r="CP17" s="37">
        <f>SUM(COUNTIF(Region7,CONCATENATE(CP12," ",$CL17)),COUNTIF(Region7,CONCATENATE(CP12,"c ",$CL17)))</f>
        <v>0</v>
      </c>
      <c r="CQ17" s="38">
        <f>CN17*1+CO17*2+CP17*4</f>
        <v>0</v>
      </c>
    </row>
    <row r="18" spans="1:95" ht="20.100000000000001" customHeight="1" x14ac:dyDescent="0.3">
      <c r="A18" s="93"/>
      <c r="B18" s="68"/>
      <c r="C18" s="69"/>
      <c r="D18" s="70"/>
      <c r="E18" s="68"/>
      <c r="F18" s="69"/>
      <c r="G18" s="70"/>
      <c r="H18" s="68"/>
      <c r="I18" s="69"/>
      <c r="J18" s="70"/>
      <c r="K18" s="68"/>
      <c r="L18" s="69"/>
      <c r="M18" s="70"/>
      <c r="N18" s="68"/>
      <c r="O18" s="69"/>
      <c r="P18" s="70"/>
      <c r="Q18" s="68"/>
      <c r="R18" s="69"/>
      <c r="S18" s="70"/>
      <c r="T18" s="68"/>
      <c r="U18" s="69"/>
      <c r="V18" s="70"/>
      <c r="W18" s="68"/>
      <c r="X18" s="69"/>
      <c r="Y18" s="72"/>
      <c r="Z18" s="69"/>
      <c r="AA18" s="69"/>
      <c r="AB18" s="70"/>
      <c r="AC18" s="68"/>
      <c r="AD18" s="69"/>
      <c r="AE18" s="70"/>
      <c r="AF18" s="68"/>
      <c r="AG18" s="69"/>
      <c r="AH18" s="70"/>
      <c r="AI18" s="68"/>
      <c r="AJ18" s="69"/>
      <c r="AK18" s="70"/>
      <c r="AL18" s="68"/>
      <c r="AM18" s="69"/>
      <c r="AN18" s="70"/>
      <c r="AO18" s="68"/>
      <c r="AP18" s="69"/>
      <c r="AQ18" s="70"/>
      <c r="AR18" s="68"/>
      <c r="AS18" s="69"/>
      <c r="AT18" s="70"/>
      <c r="AU18" s="68"/>
      <c r="AV18" s="69"/>
      <c r="AW18" s="70"/>
      <c r="AX18" s="68"/>
      <c r="AY18" s="69"/>
      <c r="AZ18" s="70"/>
      <c r="BA18" s="68"/>
      <c r="BB18" s="69"/>
      <c r="BC18" s="69"/>
      <c r="BD18" s="71"/>
      <c r="BE18" s="69"/>
      <c r="BF18" s="70"/>
      <c r="BG18" s="68"/>
      <c r="BH18" s="69"/>
      <c r="BI18" s="70"/>
      <c r="BJ18" s="68"/>
      <c r="BK18" s="69"/>
      <c r="BL18" s="70"/>
      <c r="BM18" s="68"/>
      <c r="BN18" s="69"/>
      <c r="BO18" s="70"/>
      <c r="BP18" s="68"/>
      <c r="BQ18" s="69"/>
      <c r="BR18" s="70"/>
      <c r="BS18" s="68"/>
      <c r="BT18" s="69"/>
      <c r="BU18" s="70"/>
      <c r="BV18" s="68"/>
      <c r="BW18" s="69"/>
      <c r="BX18" s="70"/>
      <c r="BY18" s="68"/>
      <c r="BZ18" s="69"/>
      <c r="CA18" s="70"/>
      <c r="CB18" s="95"/>
      <c r="CC18" s="35"/>
      <c r="CD18" s="35"/>
      <c r="CE18" s="35"/>
      <c r="CF18" s="37" t="s">
        <v>31</v>
      </c>
      <c r="CG18" s="37">
        <f>SUM(COUNTIF(Region2,"# "),COUNTIF(Region2,"#"),COUNTIF(Region2,"P"),COUNTIF(Region2,"US"),COUNTIF(Region2,"US c"))</f>
        <v>0</v>
      </c>
      <c r="CH18" s="37" t="s">
        <v>45</v>
      </c>
      <c r="CI18" s="40">
        <f>SUM(CG14:CI14,CG18:CG19)/CF12</f>
        <v>1.4925373134328358E-2</v>
      </c>
      <c r="CJ18" s="35"/>
      <c r="CK18" s="35"/>
      <c r="CL18" s="35"/>
      <c r="CM18" s="37" t="s">
        <v>31</v>
      </c>
      <c r="CN18" s="37">
        <f>SUM(COUNTIF(Region7,"# "),COUNTIF(Region7,"#"),COUNTIF(Region7,"P"),COUNTIF(Region7,"US"),COUNTIF(Region7,"US c"))</f>
        <v>0</v>
      </c>
      <c r="CO18" s="37" t="s">
        <v>45</v>
      </c>
      <c r="CP18" s="40">
        <f>SUM(CN14:CP14,CN18:CN19)/CM12</f>
        <v>1.4705882352941176E-2</v>
      </c>
      <c r="CQ18" s="35"/>
    </row>
    <row r="19" spans="1:95" ht="20.100000000000001" customHeight="1" thickBot="1" x14ac:dyDescent="0.35">
      <c r="A19" s="94"/>
      <c r="B19" s="73"/>
      <c r="C19" s="74"/>
      <c r="D19" s="75"/>
      <c r="E19" s="73"/>
      <c r="F19" s="74"/>
      <c r="G19" s="75"/>
      <c r="H19" s="73"/>
      <c r="I19" s="74"/>
      <c r="J19" s="75"/>
      <c r="K19" s="73"/>
      <c r="L19" s="74"/>
      <c r="M19" s="75"/>
      <c r="N19" s="73"/>
      <c r="O19" s="74"/>
      <c r="P19" s="75"/>
      <c r="Q19" s="73"/>
      <c r="R19" s="74"/>
      <c r="S19" s="75"/>
      <c r="T19" s="73"/>
      <c r="U19" s="74"/>
      <c r="V19" s="75"/>
      <c r="W19" s="73"/>
      <c r="X19" s="74"/>
      <c r="Y19" s="84"/>
      <c r="Z19" s="69"/>
      <c r="AA19" s="69"/>
      <c r="AB19" s="70"/>
      <c r="AC19" s="68"/>
      <c r="AD19" s="69"/>
      <c r="AE19" s="70"/>
      <c r="AF19" s="68"/>
      <c r="AG19" s="69"/>
      <c r="AH19" s="70"/>
      <c r="AI19" s="68"/>
      <c r="AJ19" s="69"/>
      <c r="AK19" s="70"/>
      <c r="AL19" s="73"/>
      <c r="AM19" s="74"/>
      <c r="AN19" s="75"/>
      <c r="AO19" s="73"/>
      <c r="AP19" s="74"/>
      <c r="AQ19" s="75"/>
      <c r="AR19" s="73"/>
      <c r="AS19" s="74"/>
      <c r="AT19" s="75"/>
      <c r="AU19" s="73"/>
      <c r="AV19" s="74"/>
      <c r="AW19" s="75"/>
      <c r="AX19" s="73"/>
      <c r="AY19" s="74"/>
      <c r="AZ19" s="75"/>
      <c r="BA19" s="68"/>
      <c r="BB19" s="69"/>
      <c r="BC19" s="69"/>
      <c r="BD19" s="85"/>
      <c r="BE19" s="74"/>
      <c r="BF19" s="75"/>
      <c r="BG19" s="73"/>
      <c r="BH19" s="74"/>
      <c r="BI19" s="75"/>
      <c r="BJ19" s="73"/>
      <c r="BK19" s="74"/>
      <c r="BL19" s="75"/>
      <c r="BM19" s="73"/>
      <c r="BN19" s="74"/>
      <c r="BO19" s="75"/>
      <c r="BP19" s="73"/>
      <c r="BQ19" s="74"/>
      <c r="BR19" s="75"/>
      <c r="BS19" s="73"/>
      <c r="BT19" s="74"/>
      <c r="BU19" s="75"/>
      <c r="BV19" s="73"/>
      <c r="BW19" s="74"/>
      <c r="BX19" s="75"/>
      <c r="BY19" s="73"/>
      <c r="BZ19" s="74"/>
      <c r="CA19" s="75"/>
      <c r="CB19" s="96"/>
      <c r="CC19" s="35"/>
      <c r="CD19" s="35"/>
      <c r="CE19" s="35"/>
      <c r="CF19" s="37" t="s">
        <v>28</v>
      </c>
      <c r="CG19" s="37"/>
      <c r="CH19" s="37" t="s">
        <v>30</v>
      </c>
      <c r="CI19" s="37">
        <f>CF12-SUM(CG14:CI14)-SUM(CG18:CG19)</f>
        <v>66</v>
      </c>
      <c r="CJ19" s="35"/>
      <c r="CK19" s="35"/>
      <c r="CL19" s="35"/>
      <c r="CM19" s="37" t="s">
        <v>28</v>
      </c>
      <c r="CN19" s="37"/>
      <c r="CO19" s="37" t="s">
        <v>30</v>
      </c>
      <c r="CP19" s="37">
        <f>CM12-SUM(CN14:CP14)-SUM(CN18:CN19)</f>
        <v>67</v>
      </c>
      <c r="CQ19" s="35"/>
    </row>
    <row r="20" spans="1:95" ht="20.100000000000001" customHeight="1" x14ac:dyDescent="0.3">
      <c r="A20" s="92"/>
      <c r="B20" s="63"/>
      <c r="C20" s="64"/>
      <c r="D20" s="65"/>
      <c r="E20" s="63"/>
      <c r="F20" s="64"/>
      <c r="G20" s="65"/>
      <c r="H20" s="63"/>
      <c r="I20" s="64"/>
      <c r="J20" s="65"/>
      <c r="K20" s="63"/>
      <c r="L20" s="64"/>
      <c r="M20" s="65"/>
      <c r="N20" s="63"/>
      <c r="O20" s="64"/>
      <c r="P20" s="65"/>
      <c r="Q20" s="63"/>
      <c r="R20" s="64"/>
      <c r="S20" s="65"/>
      <c r="T20" s="63"/>
      <c r="U20" s="64"/>
      <c r="V20" s="65"/>
      <c r="W20" s="63"/>
      <c r="X20" s="64"/>
      <c r="Y20" s="64"/>
      <c r="Z20" s="86"/>
      <c r="AA20" s="82"/>
      <c r="AB20" s="87"/>
      <c r="AC20" s="81"/>
      <c r="AD20" s="82"/>
      <c r="AE20" s="87"/>
      <c r="AF20" s="81"/>
      <c r="AG20" s="82"/>
      <c r="AH20" s="87"/>
      <c r="AI20" s="81"/>
      <c r="AJ20" s="82"/>
      <c r="AK20" s="83"/>
      <c r="AL20" s="66"/>
      <c r="AM20" s="64"/>
      <c r="AN20" s="65"/>
      <c r="AO20" s="63"/>
      <c r="AP20" s="64"/>
      <c r="AQ20" s="65"/>
      <c r="AR20" s="63"/>
      <c r="AS20" s="64"/>
      <c r="AT20" s="65"/>
      <c r="AU20" s="63"/>
      <c r="AV20" s="64"/>
      <c r="AW20" s="65"/>
      <c r="AX20" s="63"/>
      <c r="AY20" s="64"/>
      <c r="AZ20" s="67"/>
      <c r="BA20" s="86"/>
      <c r="BB20" s="82"/>
      <c r="BC20" s="82"/>
      <c r="BD20" s="66"/>
      <c r="BE20" s="64"/>
      <c r="BF20" s="65"/>
      <c r="BG20" s="63"/>
      <c r="BH20" s="64"/>
      <c r="BI20" s="65"/>
      <c r="BJ20" s="63"/>
      <c r="BK20" s="64"/>
      <c r="BL20" s="65"/>
      <c r="BM20" s="63"/>
      <c r="BN20" s="64"/>
      <c r="BO20" s="65"/>
      <c r="BP20" s="63"/>
      <c r="BQ20" s="64"/>
      <c r="BR20" s="65"/>
      <c r="BS20" s="63"/>
      <c r="BT20" s="64"/>
      <c r="BU20" s="65"/>
      <c r="BV20" s="63"/>
      <c r="BW20" s="64"/>
      <c r="BX20" s="65"/>
      <c r="BY20" s="63"/>
      <c r="BZ20" s="64"/>
      <c r="CA20" s="65"/>
      <c r="CB20" s="91"/>
      <c r="CC20" s="35"/>
      <c r="CD20" s="35"/>
      <c r="CE20" s="35"/>
      <c r="CF20" s="37" t="s">
        <v>29</v>
      </c>
      <c r="CG20" s="41">
        <f>IFERROR((SUM($CG13:$CH13)-SUM($CG14:$CH14))*(CG13-CG14)/(SUM($CG13:$CH13)-SUM($CG14:$CH14))*$CG19/($CF12-SUM($CG14:$CI14)-$CG18),0)</f>
        <v>0</v>
      </c>
      <c r="CH20" s="41">
        <f>IFERROR((SUM($CG13:$CH13)-SUM($CG14:$CH14))*(CH13-CH14)/(SUM($CG13:$CH13)-SUM($CG14:$CH14))*$CG19/($CF12-SUM($CG14:$CI14)-$CG18),0)</f>
        <v>0</v>
      </c>
      <c r="CI20" s="38">
        <f>ROUNDDOWN(CG20,0)+ROUNDDOWN(CH20,0)*2</f>
        <v>0</v>
      </c>
      <c r="CJ20" s="35"/>
      <c r="CK20" s="35"/>
      <c r="CL20" s="35"/>
      <c r="CM20" s="37" t="s">
        <v>29</v>
      </c>
      <c r="CN20" s="41">
        <f>IFERROR((SUM($CN13:$CO13)-SUM($CN14:$CO14))*(CN13-CN14)/(SUM($CN13:$CO13)-SUM($CN14:$CO14))*$CN19/($CM12-SUM($CN14:$CP14)-$CN18),0)</f>
        <v>0</v>
      </c>
      <c r="CO20" s="41">
        <f>IFERROR((SUM($CN13:$CO13)-SUM($CN14:$CO14))*(CO13-CO14)/(SUM($CN13:$CO13)-SUM($CN14:$CO14))*$CN19/($CM12-SUM($CN14:$CP14)-$CN18),0)</f>
        <v>0</v>
      </c>
      <c r="CP20" s="38">
        <f>ROUNDDOWN(CN20,0)+ROUNDDOWN(CO20,0)*2</f>
        <v>0</v>
      </c>
      <c r="CQ20" s="35"/>
    </row>
    <row r="21" spans="1:95" ht="20.100000000000001" customHeight="1" x14ac:dyDescent="0.25">
      <c r="A21" s="93"/>
      <c r="B21" s="68"/>
      <c r="C21" s="69"/>
      <c r="D21" s="70"/>
      <c r="E21" s="68"/>
      <c r="F21" s="69"/>
      <c r="G21" s="70"/>
      <c r="H21" s="68"/>
      <c r="I21" s="69"/>
      <c r="J21" s="70"/>
      <c r="K21" s="68"/>
      <c r="L21" s="69"/>
      <c r="M21" s="70"/>
      <c r="N21" s="68"/>
      <c r="O21" s="69"/>
      <c r="P21" s="70"/>
      <c r="Q21" s="68"/>
      <c r="R21" s="69"/>
      <c r="S21" s="70"/>
      <c r="T21" s="68"/>
      <c r="U21" s="69"/>
      <c r="V21" s="70"/>
      <c r="W21" s="68"/>
      <c r="X21" s="69"/>
      <c r="Y21" s="69"/>
      <c r="Z21" s="71"/>
      <c r="AA21" s="69"/>
      <c r="AB21" s="70"/>
      <c r="AC21" s="68"/>
      <c r="AD21" s="69"/>
      <c r="AE21" s="70"/>
      <c r="AF21" s="68"/>
      <c r="AG21" s="69"/>
      <c r="AH21" s="70"/>
      <c r="AI21" s="68"/>
      <c r="AJ21" s="69"/>
      <c r="AK21" s="72"/>
      <c r="AL21" s="71"/>
      <c r="AM21" s="69"/>
      <c r="AN21" s="70"/>
      <c r="AO21" s="68"/>
      <c r="AP21" s="69"/>
      <c r="AQ21" s="70"/>
      <c r="AR21" s="68"/>
      <c r="AS21" s="69"/>
      <c r="AT21" s="70"/>
      <c r="AU21" s="68"/>
      <c r="AV21" s="69"/>
      <c r="AW21" s="70"/>
      <c r="AX21" s="68"/>
      <c r="AY21" s="69"/>
      <c r="AZ21" s="72"/>
      <c r="BA21" s="71"/>
      <c r="BB21" s="69"/>
      <c r="BC21" s="69"/>
      <c r="BD21" s="71"/>
      <c r="BE21" s="69"/>
      <c r="BF21" s="70"/>
      <c r="BG21" s="68"/>
      <c r="BH21" s="69"/>
      <c r="BI21" s="70"/>
      <c r="BJ21" s="68"/>
      <c r="BK21" s="69"/>
      <c r="BL21" s="70"/>
      <c r="BM21" s="68"/>
      <c r="BN21" s="69"/>
      <c r="BO21" s="70"/>
      <c r="BP21" s="68"/>
      <c r="BQ21" s="69"/>
      <c r="BR21" s="70"/>
      <c r="BS21" s="68"/>
      <c r="BT21" s="69"/>
      <c r="BU21" s="70"/>
      <c r="BV21" s="68"/>
      <c r="BW21" s="69"/>
      <c r="BX21" s="70"/>
      <c r="BY21" s="68"/>
      <c r="BZ21" s="69"/>
      <c r="CA21" s="70"/>
      <c r="CB21" s="95"/>
      <c r="CC21" s="35"/>
      <c r="CD21" s="35"/>
      <c r="CE21" s="35"/>
      <c r="CF21" s="36" t="s">
        <v>14</v>
      </c>
      <c r="CG21" s="35"/>
      <c r="CH21" s="35"/>
      <c r="CI21" s="35"/>
      <c r="CJ21" s="36" t="s">
        <v>74</v>
      </c>
      <c r="CK21" s="35"/>
      <c r="CL21" s="35"/>
      <c r="CM21" s="36" t="s">
        <v>14</v>
      </c>
      <c r="CN21" s="35"/>
      <c r="CO21" s="35"/>
      <c r="CP21" s="35"/>
      <c r="CQ21" s="36" t="s">
        <v>74</v>
      </c>
    </row>
    <row r="22" spans="1:95" ht="20.100000000000001" customHeight="1" thickBot="1" x14ac:dyDescent="0.35">
      <c r="A22" s="94"/>
      <c r="B22" s="73"/>
      <c r="C22" s="74"/>
      <c r="D22" s="75"/>
      <c r="E22" s="73"/>
      <c r="F22" s="74"/>
      <c r="G22" s="75"/>
      <c r="H22" s="73"/>
      <c r="I22" s="74"/>
      <c r="J22" s="75"/>
      <c r="K22" s="73"/>
      <c r="L22" s="74"/>
      <c r="M22" s="75"/>
      <c r="N22" s="73"/>
      <c r="O22" s="74"/>
      <c r="P22" s="75"/>
      <c r="Q22" s="73"/>
      <c r="R22" s="74"/>
      <c r="S22" s="75"/>
      <c r="T22" s="73"/>
      <c r="U22" s="74"/>
      <c r="V22" s="75"/>
      <c r="W22" s="68"/>
      <c r="X22" s="69"/>
      <c r="Y22" s="69"/>
      <c r="Z22" s="85"/>
      <c r="AA22" s="74"/>
      <c r="AB22" s="75"/>
      <c r="AC22" s="73"/>
      <c r="AD22" s="74"/>
      <c r="AE22" s="75"/>
      <c r="AF22" s="73"/>
      <c r="AG22" s="74"/>
      <c r="AH22" s="75"/>
      <c r="AI22" s="73"/>
      <c r="AJ22" s="74"/>
      <c r="AK22" s="84"/>
      <c r="AL22" s="76"/>
      <c r="AM22" s="77"/>
      <c r="AN22" s="78"/>
      <c r="AO22" s="79"/>
      <c r="AP22" s="77"/>
      <c r="AQ22" s="78"/>
      <c r="AR22" s="79"/>
      <c r="AS22" s="77"/>
      <c r="AT22" s="78"/>
      <c r="AU22" s="79"/>
      <c r="AV22" s="77"/>
      <c r="AW22" s="78"/>
      <c r="AX22" s="79"/>
      <c r="AY22" s="77"/>
      <c r="AZ22" s="80"/>
      <c r="BA22" s="85"/>
      <c r="BB22" s="74"/>
      <c r="BC22" s="74"/>
      <c r="BD22" s="76"/>
      <c r="BE22" s="77"/>
      <c r="BF22" s="78"/>
      <c r="BG22" s="79"/>
      <c r="BH22" s="77"/>
      <c r="BI22" s="78"/>
      <c r="BJ22" s="79"/>
      <c r="BK22" s="77"/>
      <c r="BL22" s="78"/>
      <c r="BM22" s="79"/>
      <c r="BN22" s="77"/>
      <c r="BO22" s="78"/>
      <c r="BP22" s="79"/>
      <c r="BQ22" s="77"/>
      <c r="BR22" s="78"/>
      <c r="BS22" s="79"/>
      <c r="BT22" s="77"/>
      <c r="BU22" s="78"/>
      <c r="BV22" s="73"/>
      <c r="BW22" s="74"/>
      <c r="BX22" s="75"/>
      <c r="BY22" s="73"/>
      <c r="BZ22" s="74"/>
      <c r="CA22" s="75"/>
      <c r="CB22" s="96"/>
      <c r="CC22" s="35"/>
      <c r="CD22" s="35"/>
      <c r="CE22" s="37">
        <v>3</v>
      </c>
      <c r="CF22" s="37">
        <f>COUNTA(Region3)</f>
        <v>60</v>
      </c>
      <c r="CG22" s="37" t="s">
        <v>3</v>
      </c>
      <c r="CH22" s="37" t="s">
        <v>2</v>
      </c>
      <c r="CI22" s="37" t="s">
        <v>0</v>
      </c>
      <c r="CJ22" s="35"/>
      <c r="CK22" s="35"/>
      <c r="CL22" s="37">
        <v>8</v>
      </c>
      <c r="CM22" s="37">
        <f>COUNTA(Region8)</f>
        <v>78</v>
      </c>
      <c r="CN22" s="37" t="s">
        <v>3</v>
      </c>
      <c r="CO22" s="37" t="s">
        <v>2</v>
      </c>
      <c r="CP22" s="37" t="s">
        <v>0</v>
      </c>
      <c r="CQ22" s="35"/>
    </row>
    <row r="23" spans="1:95" ht="20.100000000000001" customHeight="1" x14ac:dyDescent="0.3">
      <c r="A23" s="92"/>
      <c r="B23" s="63"/>
      <c r="C23" s="64"/>
      <c r="D23" s="65"/>
      <c r="E23" s="63"/>
      <c r="F23" s="64"/>
      <c r="G23" s="65"/>
      <c r="H23" s="63"/>
      <c r="I23" s="64"/>
      <c r="J23" s="65"/>
      <c r="K23" s="63"/>
      <c r="L23" s="64"/>
      <c r="M23" s="65"/>
      <c r="N23" s="63"/>
      <c r="O23" s="64"/>
      <c r="P23" s="65"/>
      <c r="Q23" s="63"/>
      <c r="R23" s="64"/>
      <c r="S23" s="65"/>
      <c r="T23" s="63"/>
      <c r="U23" s="64"/>
      <c r="V23" s="64"/>
      <c r="W23" s="86"/>
      <c r="X23" s="82"/>
      <c r="Y23" s="87"/>
      <c r="Z23" s="63"/>
      <c r="AA23" s="64"/>
      <c r="AB23" s="65"/>
      <c r="AC23" s="63"/>
      <c r="AD23" s="64"/>
      <c r="AE23" s="65"/>
      <c r="AF23" s="63"/>
      <c r="AG23" s="64"/>
      <c r="AH23" s="65"/>
      <c r="AI23" s="63"/>
      <c r="AJ23" s="64"/>
      <c r="AK23" s="65"/>
      <c r="AL23" s="68"/>
      <c r="AM23" s="69"/>
      <c r="AN23" s="70"/>
      <c r="AO23" s="68"/>
      <c r="AP23" s="69"/>
      <c r="AQ23" s="70"/>
      <c r="AR23" s="68"/>
      <c r="AS23" s="69"/>
      <c r="AT23" s="70"/>
      <c r="AU23" s="81"/>
      <c r="AV23" s="82"/>
      <c r="AW23" s="83"/>
      <c r="AX23" s="69"/>
      <c r="AY23" s="69"/>
      <c r="AZ23" s="70"/>
      <c r="BA23" s="63"/>
      <c r="BB23" s="64"/>
      <c r="BC23" s="65"/>
      <c r="BD23" s="68"/>
      <c r="BE23" s="69"/>
      <c r="BF23" s="70"/>
      <c r="BG23" s="68"/>
      <c r="BH23" s="69"/>
      <c r="BI23" s="70"/>
      <c r="BJ23" s="68"/>
      <c r="BK23" s="69"/>
      <c r="BL23" s="70"/>
      <c r="BM23" s="68"/>
      <c r="BN23" s="69"/>
      <c r="BO23" s="70"/>
      <c r="BP23" s="68"/>
      <c r="BQ23" s="69"/>
      <c r="BR23" s="70"/>
      <c r="BS23" s="68"/>
      <c r="BT23" s="69"/>
      <c r="BU23" s="69"/>
      <c r="BV23" s="66"/>
      <c r="BW23" s="64"/>
      <c r="BX23" s="65"/>
      <c r="BY23" s="63"/>
      <c r="BZ23" s="64"/>
      <c r="CA23" s="65"/>
      <c r="CB23" s="91"/>
      <c r="CC23" s="35"/>
      <c r="CD23" s="35"/>
      <c r="CE23" s="35"/>
      <c r="CF23" s="37" t="s">
        <v>15</v>
      </c>
      <c r="CG23" s="37">
        <v>8</v>
      </c>
      <c r="CH23" s="37">
        <v>7</v>
      </c>
      <c r="CI23" s="37">
        <v>1</v>
      </c>
      <c r="CJ23" s="38">
        <f>CG23*1+CH23*2+CI23*4</f>
        <v>26</v>
      </c>
      <c r="CK23" s="35"/>
      <c r="CL23" s="35"/>
      <c r="CM23" s="37" t="s">
        <v>15</v>
      </c>
      <c r="CN23" s="37">
        <v>8</v>
      </c>
      <c r="CO23" s="37">
        <v>7</v>
      </c>
      <c r="CP23" s="37">
        <v>2</v>
      </c>
      <c r="CQ23" s="38">
        <f>CN23*1+CO23*2+CP23*4</f>
        <v>30</v>
      </c>
    </row>
    <row r="24" spans="1:95" ht="20.100000000000001" customHeight="1" x14ac:dyDescent="0.3">
      <c r="A24" s="93"/>
      <c r="B24" s="68"/>
      <c r="C24" s="69"/>
      <c r="D24" s="70"/>
      <c r="E24" s="68"/>
      <c r="F24" s="69"/>
      <c r="G24" s="70"/>
      <c r="H24" s="68"/>
      <c r="I24" s="69"/>
      <c r="J24" s="70"/>
      <c r="K24" s="68"/>
      <c r="L24" s="69"/>
      <c r="M24" s="70"/>
      <c r="N24" s="68"/>
      <c r="O24" s="69"/>
      <c r="P24" s="70"/>
      <c r="Q24" s="68"/>
      <c r="R24" s="69"/>
      <c r="S24" s="70"/>
      <c r="T24" s="68"/>
      <c r="U24" s="69"/>
      <c r="V24" s="69"/>
      <c r="W24" s="71"/>
      <c r="X24" s="69"/>
      <c r="Y24" s="70"/>
      <c r="Z24" s="68"/>
      <c r="AA24" s="69"/>
      <c r="AB24" s="70"/>
      <c r="AC24" s="68"/>
      <c r="AD24" s="69"/>
      <c r="AE24" s="70"/>
      <c r="AF24" s="68"/>
      <c r="AG24" s="69"/>
      <c r="AH24" s="70"/>
      <c r="AI24" s="68"/>
      <c r="AJ24" s="69"/>
      <c r="AK24" s="70"/>
      <c r="AL24" s="68"/>
      <c r="AM24" s="69"/>
      <c r="AN24" s="70"/>
      <c r="AO24" s="68"/>
      <c r="AP24" s="69"/>
      <c r="AQ24" s="70"/>
      <c r="AR24" s="68"/>
      <c r="AS24" s="69"/>
      <c r="AT24" s="70"/>
      <c r="AU24" s="68"/>
      <c r="AV24" s="69"/>
      <c r="AW24" s="72"/>
      <c r="AX24" s="69"/>
      <c r="AY24" s="69"/>
      <c r="AZ24" s="70"/>
      <c r="BA24" s="68"/>
      <c r="BB24" s="69"/>
      <c r="BC24" s="70"/>
      <c r="BD24" s="68"/>
      <c r="BE24" s="69"/>
      <c r="BF24" s="70"/>
      <c r="BG24" s="68"/>
      <c r="BH24" s="69"/>
      <c r="BI24" s="70"/>
      <c r="BJ24" s="68"/>
      <c r="BK24" s="69"/>
      <c r="BL24" s="70"/>
      <c r="BM24" s="68"/>
      <c r="BN24" s="69"/>
      <c r="BO24" s="70"/>
      <c r="BP24" s="68"/>
      <c r="BQ24" s="69"/>
      <c r="BR24" s="70"/>
      <c r="BS24" s="68"/>
      <c r="BT24" s="69"/>
      <c r="BU24" s="69"/>
      <c r="BV24" s="71"/>
      <c r="BW24" s="69"/>
      <c r="BX24" s="70"/>
      <c r="BY24" s="68"/>
      <c r="BZ24" s="69"/>
      <c r="CA24" s="70"/>
      <c r="CB24" s="95"/>
      <c r="CC24" s="35"/>
      <c r="CD24" s="35"/>
      <c r="CE24" s="35"/>
      <c r="CF24" s="37" t="s">
        <v>16</v>
      </c>
      <c r="CG24" s="37">
        <f>SUM(CG25:CG27)</f>
        <v>0</v>
      </c>
      <c r="CH24" s="37">
        <f>SUM(CH25:CH27)</f>
        <v>0</v>
      </c>
      <c r="CI24" s="37">
        <f>IF(SUM(CI25:CI27)&lt;CI23,CI23,SUM(CI25:CI27))</f>
        <v>1</v>
      </c>
      <c r="CJ24" s="38">
        <f>CG24*1+CH24*2+CI24*4</f>
        <v>4</v>
      </c>
      <c r="CK24" s="35"/>
      <c r="CL24" s="35"/>
      <c r="CM24" s="37" t="s">
        <v>16</v>
      </c>
      <c r="CN24" s="37">
        <f>SUM(CN25:CN27)</f>
        <v>0</v>
      </c>
      <c r="CO24" s="37">
        <f>SUM(CO25:CO27)</f>
        <v>0</v>
      </c>
      <c r="CP24" s="37">
        <f>IF(SUM(CP25:CP27)&lt;CP23,CP23,SUM(CP25:CP27))</f>
        <v>2</v>
      </c>
      <c r="CQ24" s="38">
        <f>CN24*1+CO24*2+CP24*4</f>
        <v>8</v>
      </c>
    </row>
    <row r="25" spans="1:95" ht="20.100000000000001" customHeight="1" thickBot="1" x14ac:dyDescent="0.35">
      <c r="A25" s="94"/>
      <c r="B25" s="73"/>
      <c r="C25" s="74"/>
      <c r="D25" s="75"/>
      <c r="E25" s="73"/>
      <c r="F25" s="74"/>
      <c r="G25" s="75"/>
      <c r="H25" s="73"/>
      <c r="I25" s="74"/>
      <c r="J25" s="75"/>
      <c r="K25" s="68"/>
      <c r="L25" s="69"/>
      <c r="M25" s="70"/>
      <c r="N25" s="68"/>
      <c r="O25" s="69"/>
      <c r="P25" s="70"/>
      <c r="Q25" s="68"/>
      <c r="R25" s="69"/>
      <c r="S25" s="70"/>
      <c r="T25" s="68"/>
      <c r="U25" s="69"/>
      <c r="V25" s="69"/>
      <c r="W25" s="85"/>
      <c r="X25" s="74"/>
      <c r="Y25" s="75"/>
      <c r="Z25" s="73"/>
      <c r="AA25" s="74"/>
      <c r="AB25" s="75"/>
      <c r="AC25" s="73"/>
      <c r="AD25" s="74"/>
      <c r="AE25" s="75"/>
      <c r="AF25" s="73"/>
      <c r="AG25" s="74"/>
      <c r="AH25" s="75"/>
      <c r="AI25" s="73"/>
      <c r="AJ25" s="74"/>
      <c r="AK25" s="75"/>
      <c r="AL25" s="73"/>
      <c r="AM25" s="74"/>
      <c r="AN25" s="75"/>
      <c r="AO25" s="73"/>
      <c r="AP25" s="74"/>
      <c r="AQ25" s="75"/>
      <c r="AR25" s="73"/>
      <c r="AS25" s="74"/>
      <c r="AT25" s="75"/>
      <c r="AU25" s="73"/>
      <c r="AV25" s="74"/>
      <c r="AW25" s="84"/>
      <c r="AX25" s="74"/>
      <c r="AY25" s="74"/>
      <c r="AZ25" s="75"/>
      <c r="BA25" s="73"/>
      <c r="BB25" s="74"/>
      <c r="BC25" s="75"/>
      <c r="BD25" s="73"/>
      <c r="BE25" s="74"/>
      <c r="BF25" s="75"/>
      <c r="BG25" s="73"/>
      <c r="BH25" s="74"/>
      <c r="BI25" s="75"/>
      <c r="BJ25" s="73"/>
      <c r="BK25" s="74"/>
      <c r="BL25" s="75"/>
      <c r="BM25" s="73"/>
      <c r="BN25" s="74"/>
      <c r="BO25" s="75"/>
      <c r="BP25" s="73"/>
      <c r="BQ25" s="74"/>
      <c r="BR25" s="75"/>
      <c r="BS25" s="73"/>
      <c r="BT25" s="74"/>
      <c r="BU25" s="74"/>
      <c r="BV25" s="76"/>
      <c r="BW25" s="77"/>
      <c r="BX25" s="78"/>
      <c r="BY25" s="73"/>
      <c r="BZ25" s="74"/>
      <c r="CA25" s="75"/>
      <c r="CB25" s="96"/>
      <c r="CC25" s="35"/>
      <c r="CD25" s="35"/>
      <c r="CE25" s="35"/>
      <c r="CF25" s="37" t="s">
        <v>46</v>
      </c>
      <c r="CG25" s="37">
        <f>COUNTIF(Region3,CG22)</f>
        <v>0</v>
      </c>
      <c r="CH25" s="37">
        <f>COUNTIF(Region3,CH22)</f>
        <v>0</v>
      </c>
      <c r="CI25" s="37">
        <f>COUNTIF(Region3,CI22)</f>
        <v>0</v>
      </c>
      <c r="CJ25" s="38">
        <f>CG25*1+CH25*2+CI25*4</f>
        <v>0</v>
      </c>
      <c r="CK25" s="35"/>
      <c r="CL25" s="35"/>
      <c r="CM25" s="37" t="s">
        <v>46</v>
      </c>
      <c r="CN25" s="37">
        <f>COUNTIF(Region8,CN22)</f>
        <v>0</v>
      </c>
      <c r="CO25" s="37">
        <f>COUNTIF(Region8,CO22)</f>
        <v>0</v>
      </c>
      <c r="CP25" s="37">
        <f>COUNTIF(Region8,CP22)</f>
        <v>0</v>
      </c>
      <c r="CQ25" s="38">
        <f>CN25*1+CO25*2+CP25*4</f>
        <v>0</v>
      </c>
    </row>
    <row r="26" spans="1:95" ht="20.100000000000001" customHeight="1" x14ac:dyDescent="0.3">
      <c r="A26" s="92"/>
      <c r="B26" s="63"/>
      <c r="C26" s="64"/>
      <c r="D26" s="65"/>
      <c r="E26" s="63"/>
      <c r="F26" s="64"/>
      <c r="G26" s="65"/>
      <c r="H26" s="63"/>
      <c r="I26" s="64"/>
      <c r="J26" s="67"/>
      <c r="K26" s="82"/>
      <c r="L26" s="82"/>
      <c r="M26" s="87"/>
      <c r="N26" s="81"/>
      <c r="O26" s="82"/>
      <c r="P26" s="87"/>
      <c r="Q26" s="81"/>
      <c r="R26" s="82"/>
      <c r="S26" s="87"/>
      <c r="T26" s="81"/>
      <c r="U26" s="82"/>
      <c r="V26" s="83"/>
      <c r="W26" s="64"/>
      <c r="X26" s="64"/>
      <c r="Y26" s="65"/>
      <c r="Z26" s="63"/>
      <c r="AA26" s="64"/>
      <c r="AB26" s="65"/>
      <c r="AC26" s="63"/>
      <c r="AD26" s="64"/>
      <c r="AE26" s="65"/>
      <c r="AF26" s="63"/>
      <c r="AG26" s="64"/>
      <c r="AH26" s="65"/>
      <c r="AI26" s="63"/>
      <c r="AJ26" s="64"/>
      <c r="AK26" s="65"/>
      <c r="AL26" s="63"/>
      <c r="AM26" s="64"/>
      <c r="AN26" s="65"/>
      <c r="AO26" s="63"/>
      <c r="AP26" s="64"/>
      <c r="AQ26" s="65"/>
      <c r="AR26" s="63"/>
      <c r="AS26" s="64"/>
      <c r="AT26" s="65"/>
      <c r="AU26" s="63"/>
      <c r="AV26" s="64"/>
      <c r="AW26" s="67"/>
      <c r="AX26" s="64"/>
      <c r="AY26" s="64"/>
      <c r="AZ26" s="65"/>
      <c r="BA26" s="63"/>
      <c r="BB26" s="64"/>
      <c r="BC26" s="65"/>
      <c r="BD26" s="63"/>
      <c r="BE26" s="64"/>
      <c r="BF26" s="65"/>
      <c r="BG26" s="63"/>
      <c r="BH26" s="64"/>
      <c r="BI26" s="65"/>
      <c r="BJ26" s="63"/>
      <c r="BK26" s="64"/>
      <c r="BL26" s="65"/>
      <c r="BM26" s="63"/>
      <c r="BN26" s="64"/>
      <c r="BO26" s="65"/>
      <c r="BP26" s="63"/>
      <c r="BQ26" s="64"/>
      <c r="BR26" s="65"/>
      <c r="BS26" s="63"/>
      <c r="BT26" s="64"/>
      <c r="BU26" s="65"/>
      <c r="BV26" s="68"/>
      <c r="BW26" s="69"/>
      <c r="BX26" s="69"/>
      <c r="BY26" s="66"/>
      <c r="BZ26" s="64"/>
      <c r="CA26" s="65"/>
      <c r="CB26" s="91"/>
      <c r="CC26" s="35"/>
      <c r="CD26" s="35"/>
      <c r="CE26" s="35"/>
      <c r="CF26" s="37" t="s">
        <v>48</v>
      </c>
      <c r="CG26" s="37">
        <f>SUM(COUNTIF(Region3,CONCATENATE(CG22," *",$CL26)),COUNTIF(Region3,CONCATENATE(CG22,"c *",$CL26)))-CG27</f>
        <v>0</v>
      </c>
      <c r="CH26" s="37">
        <f>SUM(COUNTIF(Region3,CONCATENATE(CH22," *",$CL26)),COUNTIF(Region3,CONCATENATE(CH22,"c *",$CL26)))-CH27</f>
        <v>0</v>
      </c>
      <c r="CI26" s="37">
        <f>SUM(COUNTIF(Region3,CONCATENATE(CI22," *",$CL26)),COUNTIF(Region3,CONCATENATE(CI22,"c *",$CL26)))-CI27</f>
        <v>0</v>
      </c>
      <c r="CJ26" s="38">
        <f>CG26*1+CH26*2+CI26*4</f>
        <v>0</v>
      </c>
      <c r="CK26" s="35"/>
      <c r="CL26" s="35"/>
      <c r="CM26" s="37" t="s">
        <v>48</v>
      </c>
      <c r="CN26" s="37">
        <f>SUM(COUNTIF(Region8,CONCATENATE(CN22," *",$CL26)),COUNTIF(Region8,CONCATENATE(CN22,"c *",$CL26)))-CN27</f>
        <v>0</v>
      </c>
      <c r="CO26" s="37">
        <f>SUM(COUNTIF(Region8,CONCATENATE(CO22," *",$CL26)),COUNTIF(Region8,CONCATENATE(CO22,"c *",$CL26)))-CO27</f>
        <v>0</v>
      </c>
      <c r="CP26" s="37">
        <f>SUM(COUNTIF(Region8,CONCATENATE(CP22," *",$CL26)),COUNTIF(Region8,CONCATENATE(CP22,"c *",$CL26)))-CP27</f>
        <v>0</v>
      </c>
      <c r="CQ26" s="38">
        <f>CN26*1+CO26*2+CP26*4</f>
        <v>0</v>
      </c>
    </row>
    <row r="27" spans="1:95" ht="20.100000000000001" customHeight="1" x14ac:dyDescent="0.3">
      <c r="A27" s="93"/>
      <c r="B27" s="68"/>
      <c r="C27" s="69"/>
      <c r="D27" s="70"/>
      <c r="E27" s="68"/>
      <c r="F27" s="69"/>
      <c r="G27" s="70"/>
      <c r="H27" s="68"/>
      <c r="I27" s="69"/>
      <c r="J27" s="72"/>
      <c r="K27" s="69"/>
      <c r="L27" s="69"/>
      <c r="M27" s="70"/>
      <c r="N27" s="68"/>
      <c r="O27" s="69"/>
      <c r="P27" s="70"/>
      <c r="Q27" s="68"/>
      <c r="R27" s="69"/>
      <c r="S27" s="70"/>
      <c r="T27" s="68"/>
      <c r="U27" s="69"/>
      <c r="V27" s="72"/>
      <c r="W27" s="69"/>
      <c r="X27" s="69"/>
      <c r="Y27" s="70"/>
      <c r="Z27" s="68"/>
      <c r="AA27" s="69"/>
      <c r="AB27" s="70"/>
      <c r="AC27" s="68"/>
      <c r="AD27" s="69"/>
      <c r="AE27" s="70"/>
      <c r="AF27" s="68"/>
      <c r="AG27" s="69"/>
      <c r="AH27" s="70"/>
      <c r="AI27" s="68"/>
      <c r="AJ27" s="69"/>
      <c r="AK27" s="70"/>
      <c r="AL27" s="68"/>
      <c r="AM27" s="69"/>
      <c r="AN27" s="70"/>
      <c r="AO27" s="68"/>
      <c r="AP27" s="69"/>
      <c r="AQ27" s="70"/>
      <c r="AR27" s="68"/>
      <c r="AS27" s="69"/>
      <c r="AT27" s="70"/>
      <c r="AU27" s="68"/>
      <c r="AV27" s="69"/>
      <c r="AW27" s="72"/>
      <c r="AX27" s="69"/>
      <c r="AY27" s="69"/>
      <c r="AZ27" s="70"/>
      <c r="BA27" s="68"/>
      <c r="BB27" s="69"/>
      <c r="BC27" s="70"/>
      <c r="BD27" s="68"/>
      <c r="BE27" s="69"/>
      <c r="BF27" s="70"/>
      <c r="BG27" s="68"/>
      <c r="BH27" s="69"/>
      <c r="BI27" s="70"/>
      <c r="BJ27" s="68"/>
      <c r="BK27" s="69"/>
      <c r="BL27" s="70"/>
      <c r="BM27" s="68"/>
      <c r="BN27" s="69"/>
      <c r="BO27" s="70"/>
      <c r="BP27" s="68"/>
      <c r="BQ27" s="69"/>
      <c r="BR27" s="70"/>
      <c r="BS27" s="68"/>
      <c r="BT27" s="88"/>
      <c r="BU27" s="70"/>
      <c r="BV27" s="68"/>
      <c r="BW27" s="69"/>
      <c r="BX27" s="69"/>
      <c r="BY27" s="71"/>
      <c r="BZ27" s="69"/>
      <c r="CA27" s="70"/>
      <c r="CB27" s="95"/>
      <c r="CC27" s="35"/>
      <c r="CD27" s="35"/>
      <c r="CE27" s="39" t="s">
        <v>18</v>
      </c>
      <c r="CF27" s="37" t="s">
        <v>44</v>
      </c>
      <c r="CG27" s="37">
        <f>SUM(COUNTIF(Region3,CONCATENATE(CG22," ",$CE27)),COUNTIF(Region3,CONCATENATE(CG22,"c ",$CE27)))</f>
        <v>0</v>
      </c>
      <c r="CH27" s="37">
        <f>SUM(COUNTIF(Region3,CONCATENATE(CH22," ",$CE27)),COUNTIF(Region3,CONCATENATE(CH22,"c ",$CE27)))</f>
        <v>0</v>
      </c>
      <c r="CI27" s="37">
        <f>SUM(COUNTIF(Region3,CONCATENATE(CI22," ",$CE27)),COUNTIF(Region3,CONCATENATE(CI22,"c ",$CE27)))</f>
        <v>0</v>
      </c>
      <c r="CJ27" s="38">
        <f>CG27*1+CH27*2+CI27*4</f>
        <v>0</v>
      </c>
      <c r="CK27" s="35"/>
      <c r="CL27" s="39" t="s">
        <v>39</v>
      </c>
      <c r="CM27" s="37" t="s">
        <v>44</v>
      </c>
      <c r="CN27" s="37">
        <f>SUM(COUNTIF(Region8,CONCATENATE(CN22," ",$CL27)),COUNTIF(Region8,CONCATENATE(CN22,"c ",$CL27)))</f>
        <v>0</v>
      </c>
      <c r="CO27" s="37">
        <f>SUM(COUNTIF(Region8,CONCATENATE(CO22," ",$CL27)),COUNTIF(Region8,CONCATENATE(CO22,"c ",$CL27)))</f>
        <v>0</v>
      </c>
      <c r="CP27" s="37">
        <f>SUM(COUNTIF(Region8,CONCATENATE(CP22," ",$CL27)),COUNTIF(Region8,CONCATENATE(CP22,"c ",$CL27)))</f>
        <v>0</v>
      </c>
      <c r="CQ27" s="38">
        <f>CN27*1+CO27*2+CP27*4</f>
        <v>0</v>
      </c>
    </row>
    <row r="28" spans="1:95" ht="20.100000000000001" customHeight="1" thickBot="1" x14ac:dyDescent="0.35">
      <c r="A28" s="94"/>
      <c r="B28" s="68"/>
      <c r="C28" s="69"/>
      <c r="D28" s="70"/>
      <c r="E28" s="79"/>
      <c r="F28" s="77"/>
      <c r="G28" s="78"/>
      <c r="H28" s="79"/>
      <c r="I28" s="77"/>
      <c r="J28" s="80"/>
      <c r="K28" s="74"/>
      <c r="L28" s="74"/>
      <c r="M28" s="75"/>
      <c r="N28" s="73"/>
      <c r="O28" s="74"/>
      <c r="P28" s="75"/>
      <c r="Q28" s="73"/>
      <c r="R28" s="74"/>
      <c r="S28" s="75"/>
      <c r="T28" s="73"/>
      <c r="U28" s="74"/>
      <c r="V28" s="84"/>
      <c r="W28" s="74"/>
      <c r="X28" s="74"/>
      <c r="Y28" s="75"/>
      <c r="Z28" s="73"/>
      <c r="AA28" s="74"/>
      <c r="AB28" s="75"/>
      <c r="AC28" s="73"/>
      <c r="AD28" s="74"/>
      <c r="AE28" s="75"/>
      <c r="AF28" s="73"/>
      <c r="AG28" s="74"/>
      <c r="AH28" s="75"/>
      <c r="AI28" s="73"/>
      <c r="AJ28" s="74"/>
      <c r="AK28" s="75"/>
      <c r="AL28" s="73"/>
      <c r="AM28" s="74"/>
      <c r="AN28" s="75"/>
      <c r="AO28" s="73"/>
      <c r="AP28" s="74"/>
      <c r="AQ28" s="75"/>
      <c r="AR28" s="73"/>
      <c r="AS28" s="74"/>
      <c r="AT28" s="75"/>
      <c r="AU28" s="73"/>
      <c r="AV28" s="74"/>
      <c r="AW28" s="84"/>
      <c r="AX28" s="74"/>
      <c r="AY28" s="74"/>
      <c r="AZ28" s="75"/>
      <c r="BA28" s="73"/>
      <c r="BB28" s="74"/>
      <c r="BC28" s="75"/>
      <c r="BD28" s="73"/>
      <c r="BE28" s="74"/>
      <c r="BF28" s="75"/>
      <c r="BG28" s="73"/>
      <c r="BH28" s="74"/>
      <c r="BI28" s="75"/>
      <c r="BJ28" s="73"/>
      <c r="BK28" s="74"/>
      <c r="BL28" s="75"/>
      <c r="BM28" s="73"/>
      <c r="BN28" s="74"/>
      <c r="BO28" s="75"/>
      <c r="BP28" s="73"/>
      <c r="BQ28" s="74"/>
      <c r="BR28" s="75"/>
      <c r="BS28" s="73"/>
      <c r="BT28" s="74"/>
      <c r="BU28" s="75"/>
      <c r="BV28" s="73"/>
      <c r="BW28" s="74"/>
      <c r="BX28" s="74"/>
      <c r="BY28" s="85"/>
      <c r="BZ28" s="74"/>
      <c r="CA28" s="75"/>
      <c r="CB28" s="96"/>
      <c r="CC28" s="35"/>
      <c r="CD28" s="35"/>
      <c r="CE28" s="35"/>
      <c r="CF28" s="37" t="s">
        <v>31</v>
      </c>
      <c r="CG28" s="37">
        <f>SUM(COUNTIF(Region3,"# "),COUNTIF(Region3,"#"),COUNTIF(Region3,"P"),COUNTIF(Region3,"US"),COUNTIF(Region3,"US c"))</f>
        <v>0</v>
      </c>
      <c r="CH28" s="37" t="s">
        <v>45</v>
      </c>
      <c r="CI28" s="40">
        <f>SUM(CG24:CI24,CG28:CG29)/CF22</f>
        <v>1.6666666666666666E-2</v>
      </c>
      <c r="CJ28" s="35"/>
      <c r="CK28" s="35"/>
      <c r="CL28" s="35"/>
      <c r="CM28" s="37" t="s">
        <v>31</v>
      </c>
      <c r="CN28" s="37">
        <f>SUM(COUNTIF(Region8,"# "),COUNTIF(Region8,"#"),COUNTIF(Region8,"P"),COUNTIF(Region8,"US"),COUNTIF(Region8,"US c"))</f>
        <v>0</v>
      </c>
      <c r="CO28" s="37" t="s">
        <v>45</v>
      </c>
      <c r="CP28" s="40">
        <f>SUM(CN24:CP24,CN28:CN29)/CM22</f>
        <v>2.564102564102564E-2</v>
      </c>
      <c r="CQ28" s="35"/>
    </row>
    <row r="29" spans="1:95" ht="20.100000000000001" customHeight="1" x14ac:dyDescent="0.3">
      <c r="A29" s="92"/>
      <c r="B29" s="63"/>
      <c r="C29" s="64"/>
      <c r="D29" s="67"/>
      <c r="E29" s="69"/>
      <c r="F29" s="69"/>
      <c r="G29" s="70"/>
      <c r="H29" s="68"/>
      <c r="I29" s="69"/>
      <c r="J29" s="70"/>
      <c r="K29" s="63"/>
      <c r="L29" s="64"/>
      <c r="M29" s="65"/>
      <c r="N29" s="63"/>
      <c r="O29" s="64"/>
      <c r="P29" s="65"/>
      <c r="Q29" s="63"/>
      <c r="R29" s="64"/>
      <c r="S29" s="65"/>
      <c r="T29" s="63"/>
      <c r="U29" s="64"/>
      <c r="V29" s="67"/>
      <c r="W29" s="64"/>
      <c r="X29" s="64"/>
      <c r="Y29" s="65"/>
      <c r="Z29" s="63"/>
      <c r="AA29" s="64"/>
      <c r="AB29" s="65"/>
      <c r="AC29" s="63"/>
      <c r="AD29" s="64"/>
      <c r="AE29" s="65"/>
      <c r="AF29" s="63"/>
      <c r="AG29" s="64"/>
      <c r="AH29" s="65"/>
      <c r="AI29" s="63"/>
      <c r="AJ29" s="64"/>
      <c r="AK29" s="65"/>
      <c r="AL29" s="63"/>
      <c r="AM29" s="64"/>
      <c r="AN29" s="65"/>
      <c r="AO29" s="63"/>
      <c r="AP29" s="64"/>
      <c r="AQ29" s="65"/>
      <c r="AR29" s="63"/>
      <c r="AS29" s="64"/>
      <c r="AT29" s="65"/>
      <c r="AU29" s="63"/>
      <c r="AV29" s="64"/>
      <c r="AW29" s="67"/>
      <c r="AX29" s="64"/>
      <c r="AY29" s="64"/>
      <c r="AZ29" s="65"/>
      <c r="BA29" s="63"/>
      <c r="BB29" s="64"/>
      <c r="BC29" s="65"/>
      <c r="BD29" s="63"/>
      <c r="BE29" s="64"/>
      <c r="BF29" s="65"/>
      <c r="BG29" s="63"/>
      <c r="BH29" s="64"/>
      <c r="BI29" s="65"/>
      <c r="BJ29" s="63"/>
      <c r="BK29" s="64"/>
      <c r="BL29" s="65"/>
      <c r="BM29" s="63"/>
      <c r="BN29" s="64"/>
      <c r="BO29" s="65"/>
      <c r="BP29" s="63"/>
      <c r="BQ29" s="64"/>
      <c r="BR29" s="65"/>
      <c r="BS29" s="63"/>
      <c r="BT29" s="64"/>
      <c r="BU29" s="65"/>
      <c r="BV29" s="63"/>
      <c r="BW29" s="64"/>
      <c r="BX29" s="64"/>
      <c r="BY29" s="66"/>
      <c r="BZ29" s="64"/>
      <c r="CA29" s="65"/>
      <c r="CB29" s="91"/>
      <c r="CC29" s="35"/>
      <c r="CD29" s="35"/>
      <c r="CE29" s="35"/>
      <c r="CF29" s="37" t="s">
        <v>28</v>
      </c>
      <c r="CG29" s="37"/>
      <c r="CH29" s="37" t="s">
        <v>30</v>
      </c>
      <c r="CI29" s="37">
        <f>CF22-SUM(CG24:CI24)-SUM(CG28:CG29)</f>
        <v>59</v>
      </c>
      <c r="CJ29" s="35"/>
      <c r="CK29" s="35"/>
      <c r="CL29" s="35"/>
      <c r="CM29" s="37" t="s">
        <v>28</v>
      </c>
      <c r="CN29" s="37"/>
      <c r="CO29" s="37" t="s">
        <v>30</v>
      </c>
      <c r="CP29" s="37">
        <f>CM22-SUM(CN24:CP24)-SUM(CN28:CN29)</f>
        <v>76</v>
      </c>
      <c r="CQ29" s="35"/>
    </row>
    <row r="30" spans="1:95" ht="20.100000000000001" customHeight="1" x14ac:dyDescent="0.3">
      <c r="A30" s="93"/>
      <c r="B30" s="68"/>
      <c r="C30" s="69"/>
      <c r="D30" s="72"/>
      <c r="E30" s="69"/>
      <c r="F30" s="69"/>
      <c r="G30" s="70"/>
      <c r="H30" s="68"/>
      <c r="I30" s="69"/>
      <c r="J30" s="70"/>
      <c r="K30" s="68"/>
      <c r="L30" s="69"/>
      <c r="M30" s="70"/>
      <c r="N30" s="68"/>
      <c r="O30" s="69"/>
      <c r="P30" s="70"/>
      <c r="Q30" s="68"/>
      <c r="R30" s="69"/>
      <c r="S30" s="70"/>
      <c r="T30" s="68"/>
      <c r="U30" s="69"/>
      <c r="V30" s="72"/>
      <c r="W30" s="69"/>
      <c r="X30" s="69"/>
      <c r="Y30" s="70"/>
      <c r="Z30" s="68"/>
      <c r="AA30" s="69"/>
      <c r="AB30" s="70"/>
      <c r="AC30" s="68"/>
      <c r="AD30" s="69"/>
      <c r="AE30" s="70"/>
      <c r="AF30" s="68"/>
      <c r="AG30" s="69"/>
      <c r="AH30" s="70"/>
      <c r="AI30" s="68"/>
      <c r="AJ30" s="69"/>
      <c r="AK30" s="70"/>
      <c r="AL30" s="68"/>
      <c r="AM30" s="69"/>
      <c r="AN30" s="70"/>
      <c r="AO30" s="68"/>
      <c r="AP30" s="69"/>
      <c r="AQ30" s="70"/>
      <c r="AR30" s="68"/>
      <c r="AS30" s="69"/>
      <c r="AT30" s="70"/>
      <c r="AU30" s="68"/>
      <c r="AV30" s="69"/>
      <c r="AW30" s="72"/>
      <c r="AX30" s="69"/>
      <c r="AY30" s="69"/>
      <c r="AZ30" s="70"/>
      <c r="BA30" s="68"/>
      <c r="BB30" s="69"/>
      <c r="BC30" s="70"/>
      <c r="BD30" s="68"/>
      <c r="BE30" s="69"/>
      <c r="BF30" s="70"/>
      <c r="BG30" s="68"/>
      <c r="BH30" s="69"/>
      <c r="BI30" s="70"/>
      <c r="BJ30" s="68"/>
      <c r="BK30" s="69"/>
      <c r="BL30" s="70"/>
      <c r="BM30" s="68"/>
      <c r="BN30" s="69"/>
      <c r="BO30" s="70"/>
      <c r="BP30" s="68"/>
      <c r="BQ30" s="69"/>
      <c r="BR30" s="70"/>
      <c r="BS30" s="68"/>
      <c r="BT30" s="69"/>
      <c r="BU30" s="70"/>
      <c r="BV30" s="68"/>
      <c r="BW30" s="69"/>
      <c r="BX30" s="69"/>
      <c r="BY30" s="71"/>
      <c r="BZ30" s="69"/>
      <c r="CA30" s="70"/>
      <c r="CB30" s="95"/>
      <c r="CC30" s="35"/>
      <c r="CD30" s="35"/>
      <c r="CE30" s="35"/>
      <c r="CF30" s="37" t="s">
        <v>29</v>
      </c>
      <c r="CG30" s="41">
        <f>IFERROR((SUM($CG23:$CH23)-SUM($CG24:$CH24))*(CG23-CG24)/(SUM($CG23:$CH23)-SUM($CG24:$CH24))*$CG29/($CF22-SUM($CG24:$CI24)-$CG28),0)</f>
        <v>0</v>
      </c>
      <c r="CH30" s="41">
        <f>IFERROR((SUM($CG23:$CH23)-SUM($CG24:$CH24))*(CH23-CH24)/(SUM($CG23:$CH23)-SUM($CG24:$CH24))*$CG29/($CF22-SUM($CG24:$CI24)-$CG28),0)</f>
        <v>0</v>
      </c>
      <c r="CI30" s="38">
        <f>ROUNDDOWN(CG30,0)+ROUNDDOWN(CH30,0)*2</f>
        <v>0</v>
      </c>
      <c r="CJ30" s="35"/>
      <c r="CK30" s="35"/>
      <c r="CL30" s="35"/>
      <c r="CM30" s="37" t="s">
        <v>29</v>
      </c>
      <c r="CN30" s="41">
        <f>IFERROR((SUM($CN23:$CO23)-SUM($CN24:$CO24))*(CN23-CN24)/(SUM($CN23:$CO23)-SUM($CN24:$CO24))*$CN29/($CM22-SUM($CN24:$CP24)-$CN28),0)</f>
        <v>0</v>
      </c>
      <c r="CO30" s="41">
        <f>IFERROR((SUM($CN23:$CO23)-SUM($CN24:$CO24))*(CO23-CO24)/(SUM($CN23:$CO23)-SUM($CN24:$CO24))*$CN29/($CM22-SUM($CN24:$CP24)-$CN28),0)</f>
        <v>0</v>
      </c>
      <c r="CP30" s="38">
        <f>ROUNDDOWN(CN30,0)+ROUNDDOWN(CO30,0)*2</f>
        <v>0</v>
      </c>
      <c r="CQ30" s="35"/>
    </row>
    <row r="31" spans="1:95" ht="20.100000000000001" customHeight="1" thickBot="1" x14ac:dyDescent="0.3">
      <c r="A31" s="94"/>
      <c r="B31" s="79"/>
      <c r="C31" s="77"/>
      <c r="D31" s="80"/>
      <c r="E31" s="74"/>
      <c r="F31" s="74"/>
      <c r="G31" s="75"/>
      <c r="H31" s="73"/>
      <c r="I31" s="74"/>
      <c r="J31" s="75"/>
      <c r="K31" s="73"/>
      <c r="L31" s="74"/>
      <c r="M31" s="75"/>
      <c r="N31" s="73"/>
      <c r="O31" s="74"/>
      <c r="P31" s="75"/>
      <c r="Q31" s="73"/>
      <c r="R31" s="74"/>
      <c r="S31" s="75"/>
      <c r="T31" s="73"/>
      <c r="U31" s="74"/>
      <c r="V31" s="84"/>
      <c r="W31" s="74"/>
      <c r="X31" s="74"/>
      <c r="Y31" s="75"/>
      <c r="Z31" s="73"/>
      <c r="AA31" s="74"/>
      <c r="AB31" s="75"/>
      <c r="AC31" s="73"/>
      <c r="AD31" s="74"/>
      <c r="AE31" s="75"/>
      <c r="AF31" s="73"/>
      <c r="AG31" s="74"/>
      <c r="AH31" s="75"/>
      <c r="AI31" s="73"/>
      <c r="AJ31" s="74"/>
      <c r="AK31" s="75"/>
      <c r="AL31" s="73"/>
      <c r="AM31" s="74"/>
      <c r="AN31" s="75"/>
      <c r="AO31" s="73"/>
      <c r="AP31" s="74"/>
      <c r="AQ31" s="75"/>
      <c r="AR31" s="73"/>
      <c r="AS31" s="74"/>
      <c r="AT31" s="75"/>
      <c r="AU31" s="73"/>
      <c r="AV31" s="74"/>
      <c r="AW31" s="84"/>
      <c r="AX31" s="74"/>
      <c r="AY31" s="74"/>
      <c r="AZ31" s="75"/>
      <c r="BA31" s="73"/>
      <c r="BB31" s="74"/>
      <c r="BC31" s="75"/>
      <c r="BD31" s="73"/>
      <c r="BE31" s="74"/>
      <c r="BF31" s="75"/>
      <c r="BG31" s="73"/>
      <c r="BH31" s="74"/>
      <c r="BI31" s="75"/>
      <c r="BJ31" s="73"/>
      <c r="BK31" s="74"/>
      <c r="BL31" s="75"/>
      <c r="BM31" s="73"/>
      <c r="BN31" s="74"/>
      <c r="BO31" s="75"/>
      <c r="BP31" s="73"/>
      <c r="BQ31" s="74"/>
      <c r="BR31" s="75"/>
      <c r="BS31" s="73"/>
      <c r="BT31" s="74"/>
      <c r="BU31" s="75"/>
      <c r="BV31" s="73"/>
      <c r="BW31" s="74"/>
      <c r="BX31" s="74"/>
      <c r="BY31" s="85"/>
      <c r="BZ31" s="74"/>
      <c r="CA31" s="75"/>
      <c r="CB31" s="96"/>
      <c r="CC31" s="35"/>
      <c r="CD31" s="35"/>
      <c r="CE31" s="35"/>
      <c r="CF31" s="36" t="s">
        <v>14</v>
      </c>
      <c r="CG31" s="35"/>
      <c r="CH31" s="35"/>
      <c r="CI31" s="35"/>
      <c r="CJ31" s="36" t="s">
        <v>74</v>
      </c>
      <c r="CK31" s="35"/>
      <c r="CL31" s="35"/>
      <c r="CM31" s="36" t="s">
        <v>14</v>
      </c>
      <c r="CN31" s="35"/>
      <c r="CO31" s="35"/>
      <c r="CP31" s="35"/>
      <c r="CQ31" s="36" t="s">
        <v>74</v>
      </c>
    </row>
    <row r="32" spans="1:95" ht="20.100000000000001" customHeight="1" x14ac:dyDescent="0.3">
      <c r="A32" s="92"/>
      <c r="B32" s="68"/>
      <c r="C32" s="69"/>
      <c r="D32" s="70"/>
      <c r="E32" s="63"/>
      <c r="F32" s="64"/>
      <c r="G32" s="65"/>
      <c r="H32" s="63"/>
      <c r="I32" s="64"/>
      <c r="J32" s="65"/>
      <c r="K32" s="63"/>
      <c r="L32" s="64"/>
      <c r="M32" s="65"/>
      <c r="N32" s="63"/>
      <c r="O32" s="64"/>
      <c r="P32" s="65"/>
      <c r="Q32" s="63"/>
      <c r="R32" s="64"/>
      <c r="S32" s="65"/>
      <c r="T32" s="63"/>
      <c r="U32" s="64"/>
      <c r="V32" s="67"/>
      <c r="W32" s="64"/>
      <c r="X32" s="64"/>
      <c r="Y32" s="65"/>
      <c r="Z32" s="63"/>
      <c r="AA32" s="64"/>
      <c r="AB32" s="65"/>
      <c r="AC32" s="63"/>
      <c r="AD32" s="64"/>
      <c r="AE32" s="65"/>
      <c r="AF32" s="63"/>
      <c r="AG32" s="64"/>
      <c r="AH32" s="65"/>
      <c r="AI32" s="63"/>
      <c r="AJ32" s="64"/>
      <c r="AK32" s="65"/>
      <c r="AL32" s="63"/>
      <c r="AM32" s="64"/>
      <c r="AN32" s="65"/>
      <c r="AO32" s="63"/>
      <c r="AP32" s="64"/>
      <c r="AQ32" s="65"/>
      <c r="AR32" s="63"/>
      <c r="AS32" s="64"/>
      <c r="AT32" s="65"/>
      <c r="AU32" s="63"/>
      <c r="AV32" s="64"/>
      <c r="AW32" s="67"/>
      <c r="AX32" s="64"/>
      <c r="AY32" s="64"/>
      <c r="AZ32" s="65"/>
      <c r="BA32" s="63"/>
      <c r="BB32" s="64"/>
      <c r="BC32" s="65"/>
      <c r="BD32" s="63"/>
      <c r="BE32" s="64"/>
      <c r="BF32" s="65"/>
      <c r="BG32" s="63"/>
      <c r="BH32" s="64"/>
      <c r="BI32" s="65"/>
      <c r="BJ32" s="63"/>
      <c r="BK32" s="64"/>
      <c r="BL32" s="65"/>
      <c r="BM32" s="63"/>
      <c r="BN32" s="64"/>
      <c r="BO32" s="65"/>
      <c r="BP32" s="63"/>
      <c r="BQ32" s="64"/>
      <c r="BR32" s="65"/>
      <c r="BS32" s="63"/>
      <c r="BT32" s="64"/>
      <c r="BU32" s="65"/>
      <c r="BV32" s="63"/>
      <c r="BW32" s="64"/>
      <c r="BX32" s="64"/>
      <c r="BY32" s="66"/>
      <c r="BZ32" s="64"/>
      <c r="CA32" s="65"/>
      <c r="CB32" s="91"/>
      <c r="CC32" s="35"/>
      <c r="CD32" s="35"/>
      <c r="CE32" s="37">
        <v>4</v>
      </c>
      <c r="CF32" s="37">
        <f>COUNTA(Region4)</f>
        <v>73</v>
      </c>
      <c r="CG32" s="37" t="s">
        <v>3</v>
      </c>
      <c r="CH32" s="37" t="s">
        <v>2</v>
      </c>
      <c r="CI32" s="37" t="s">
        <v>0</v>
      </c>
      <c r="CJ32" s="35"/>
      <c r="CK32" s="35"/>
      <c r="CL32" s="37">
        <v>9</v>
      </c>
      <c r="CM32" s="37">
        <f>COUNTA(Region9)</f>
        <v>64</v>
      </c>
      <c r="CN32" s="37" t="s">
        <v>3</v>
      </c>
      <c r="CO32" s="37" t="s">
        <v>2</v>
      </c>
      <c r="CP32" s="37" t="s">
        <v>0</v>
      </c>
      <c r="CQ32" s="35"/>
    </row>
    <row r="33" spans="1:95" ht="20.100000000000001" customHeight="1" x14ac:dyDescent="0.3">
      <c r="A33" s="93"/>
      <c r="B33" s="68"/>
      <c r="C33" s="69"/>
      <c r="D33" s="70"/>
      <c r="E33" s="68"/>
      <c r="F33" s="69"/>
      <c r="G33" s="70"/>
      <c r="H33" s="68"/>
      <c r="I33" s="69"/>
      <c r="J33" s="70"/>
      <c r="K33" s="68"/>
      <c r="L33" s="69"/>
      <c r="M33" s="70"/>
      <c r="N33" s="68"/>
      <c r="O33" s="69"/>
      <c r="P33" s="70"/>
      <c r="Q33" s="68"/>
      <c r="R33" s="69"/>
      <c r="S33" s="70"/>
      <c r="T33" s="68"/>
      <c r="U33" s="69"/>
      <c r="V33" s="72"/>
      <c r="W33" s="69"/>
      <c r="X33" s="69"/>
      <c r="Y33" s="70"/>
      <c r="Z33" s="68"/>
      <c r="AA33" s="69"/>
      <c r="AB33" s="70"/>
      <c r="AC33" s="68"/>
      <c r="AD33" s="69"/>
      <c r="AE33" s="70"/>
      <c r="AF33" s="68"/>
      <c r="AG33" s="69"/>
      <c r="AH33" s="70"/>
      <c r="AI33" s="68"/>
      <c r="AJ33" s="69"/>
      <c r="AK33" s="70"/>
      <c r="AL33" s="68"/>
      <c r="AM33" s="69"/>
      <c r="AN33" s="70"/>
      <c r="AO33" s="68"/>
      <c r="AP33" s="69"/>
      <c r="AQ33" s="70"/>
      <c r="AR33" s="68"/>
      <c r="AS33" s="69"/>
      <c r="AT33" s="70"/>
      <c r="AU33" s="68"/>
      <c r="AV33" s="69"/>
      <c r="AW33" s="72"/>
      <c r="AX33" s="69"/>
      <c r="AY33" s="69"/>
      <c r="AZ33" s="70"/>
      <c r="BA33" s="68"/>
      <c r="BB33" s="69"/>
      <c r="BC33" s="70"/>
      <c r="BD33" s="68"/>
      <c r="BE33" s="69"/>
      <c r="BF33" s="70"/>
      <c r="BG33" s="68"/>
      <c r="BH33" s="69"/>
      <c r="BI33" s="70"/>
      <c r="BJ33" s="68"/>
      <c r="BK33" s="69"/>
      <c r="BL33" s="70"/>
      <c r="BM33" s="68"/>
      <c r="BN33" s="69"/>
      <c r="BO33" s="70"/>
      <c r="BP33" s="68"/>
      <c r="BQ33" s="69"/>
      <c r="BR33" s="70"/>
      <c r="BS33" s="68"/>
      <c r="BT33" s="69"/>
      <c r="BU33" s="70"/>
      <c r="BV33" s="68"/>
      <c r="BW33" s="69"/>
      <c r="BX33" s="69"/>
      <c r="BY33" s="71"/>
      <c r="BZ33" s="69"/>
      <c r="CA33" s="70"/>
      <c r="CB33" s="95"/>
      <c r="CC33" s="35"/>
      <c r="CD33" s="35"/>
      <c r="CE33" s="35"/>
      <c r="CF33" s="37" t="s">
        <v>15</v>
      </c>
      <c r="CG33" s="37">
        <v>8</v>
      </c>
      <c r="CH33" s="37">
        <v>7</v>
      </c>
      <c r="CI33" s="37">
        <v>1</v>
      </c>
      <c r="CJ33" s="38">
        <f>CG33*1+CH33*2+CI33*4</f>
        <v>26</v>
      </c>
      <c r="CK33" s="35"/>
      <c r="CL33" s="35"/>
      <c r="CM33" s="37" t="s">
        <v>15</v>
      </c>
      <c r="CN33" s="37">
        <v>8</v>
      </c>
      <c r="CO33" s="37">
        <v>7</v>
      </c>
      <c r="CP33" s="37">
        <v>1</v>
      </c>
      <c r="CQ33" s="38">
        <f>CN33*1+CO33*2+CP33*4</f>
        <v>26</v>
      </c>
    </row>
    <row r="34" spans="1:95" ht="20.100000000000001" customHeight="1" thickBot="1" x14ac:dyDescent="0.35">
      <c r="A34" s="94"/>
      <c r="B34" s="73"/>
      <c r="C34" s="74"/>
      <c r="D34" s="75"/>
      <c r="E34" s="73"/>
      <c r="F34" s="74"/>
      <c r="G34" s="75"/>
      <c r="H34" s="73"/>
      <c r="I34" s="74"/>
      <c r="J34" s="75"/>
      <c r="K34" s="73"/>
      <c r="L34" s="74"/>
      <c r="M34" s="75"/>
      <c r="N34" s="73"/>
      <c r="O34" s="74"/>
      <c r="P34" s="75"/>
      <c r="Q34" s="73"/>
      <c r="R34" s="74"/>
      <c r="S34" s="75"/>
      <c r="T34" s="73"/>
      <c r="U34" s="74"/>
      <c r="V34" s="84"/>
      <c r="W34" s="74"/>
      <c r="X34" s="74"/>
      <c r="Y34" s="75"/>
      <c r="Z34" s="73"/>
      <c r="AA34" s="74"/>
      <c r="AB34" s="75"/>
      <c r="AC34" s="73"/>
      <c r="AD34" s="74"/>
      <c r="AE34" s="75"/>
      <c r="AF34" s="73"/>
      <c r="AG34" s="74"/>
      <c r="AH34" s="75"/>
      <c r="AI34" s="73"/>
      <c r="AJ34" s="74"/>
      <c r="AK34" s="75"/>
      <c r="AL34" s="73"/>
      <c r="AM34" s="74"/>
      <c r="AN34" s="75"/>
      <c r="AO34" s="73"/>
      <c r="AP34" s="74"/>
      <c r="AQ34" s="75"/>
      <c r="AR34" s="68"/>
      <c r="AS34" s="69"/>
      <c r="AT34" s="70"/>
      <c r="AU34" s="79"/>
      <c r="AV34" s="77"/>
      <c r="AW34" s="80"/>
      <c r="AX34" s="74"/>
      <c r="AY34" s="74"/>
      <c r="AZ34" s="75"/>
      <c r="BA34" s="73"/>
      <c r="BB34" s="74"/>
      <c r="BC34" s="75"/>
      <c r="BD34" s="73"/>
      <c r="BE34" s="74"/>
      <c r="BF34" s="75"/>
      <c r="BG34" s="73"/>
      <c r="BH34" s="74"/>
      <c r="BI34" s="75"/>
      <c r="BJ34" s="73"/>
      <c r="BK34" s="74"/>
      <c r="BL34" s="75"/>
      <c r="BM34" s="73"/>
      <c r="BN34" s="74"/>
      <c r="BO34" s="75"/>
      <c r="BP34" s="73"/>
      <c r="BQ34" s="74"/>
      <c r="BR34" s="75"/>
      <c r="BS34" s="73"/>
      <c r="BT34" s="74"/>
      <c r="BU34" s="75"/>
      <c r="BV34" s="73"/>
      <c r="BW34" s="74"/>
      <c r="BX34" s="74"/>
      <c r="BY34" s="76"/>
      <c r="BZ34" s="77"/>
      <c r="CA34" s="78"/>
      <c r="CB34" s="96"/>
      <c r="CC34" s="35"/>
      <c r="CD34" s="35"/>
      <c r="CE34" s="35"/>
      <c r="CF34" s="37" t="s">
        <v>16</v>
      </c>
      <c r="CG34" s="37">
        <f>SUM(CG35:CG37)</f>
        <v>0</v>
      </c>
      <c r="CH34" s="37">
        <f>SUM(CH35:CH37)</f>
        <v>0</v>
      </c>
      <c r="CI34" s="37">
        <f>IF(SUM(CI35:CI37)&lt;CI33,CI33,SUM(CI35:CI37))</f>
        <v>1</v>
      </c>
      <c r="CJ34" s="38">
        <f>CG34*1+CH34*2+CI34*4</f>
        <v>4</v>
      </c>
      <c r="CK34" s="35"/>
      <c r="CL34" s="35"/>
      <c r="CM34" s="37" t="s">
        <v>16</v>
      </c>
      <c r="CN34" s="37">
        <f>SUM(CN35:CN37)</f>
        <v>0</v>
      </c>
      <c r="CO34" s="37">
        <f>SUM(CO35:CO37)</f>
        <v>0</v>
      </c>
      <c r="CP34" s="37">
        <f>IF(SUM(CP35:CP37)&lt;CP33,CP33,SUM(CP35:CP37))</f>
        <v>1</v>
      </c>
      <c r="CQ34" s="38">
        <f>CN34*1+CO34*2+CP34*4</f>
        <v>4</v>
      </c>
    </row>
    <row r="35" spans="1:95" ht="20.100000000000001" customHeight="1" x14ac:dyDescent="0.3">
      <c r="A35" s="92"/>
      <c r="B35" s="63"/>
      <c r="C35" s="64"/>
      <c r="D35" s="65"/>
      <c r="E35" s="63"/>
      <c r="F35" s="64"/>
      <c r="G35" s="65"/>
      <c r="H35" s="63"/>
      <c r="I35" s="64"/>
      <c r="J35" s="65"/>
      <c r="K35" s="63"/>
      <c r="L35" s="64"/>
      <c r="M35" s="65"/>
      <c r="N35" s="63"/>
      <c r="O35" s="64"/>
      <c r="P35" s="65"/>
      <c r="Q35" s="63"/>
      <c r="R35" s="64"/>
      <c r="S35" s="65"/>
      <c r="T35" s="63"/>
      <c r="U35" s="64"/>
      <c r="V35" s="67"/>
      <c r="W35" s="64"/>
      <c r="X35" s="64"/>
      <c r="Y35" s="65"/>
      <c r="Z35" s="63"/>
      <c r="AA35" s="64"/>
      <c r="AB35" s="65"/>
      <c r="AC35" s="63"/>
      <c r="AD35" s="64"/>
      <c r="AE35" s="65"/>
      <c r="AF35" s="63"/>
      <c r="AG35" s="64"/>
      <c r="AH35" s="65"/>
      <c r="AI35" s="63"/>
      <c r="AJ35" s="64"/>
      <c r="AK35" s="65"/>
      <c r="AL35" s="63"/>
      <c r="AM35" s="64"/>
      <c r="AN35" s="65"/>
      <c r="AO35" s="63"/>
      <c r="AP35" s="64"/>
      <c r="AQ35" s="64"/>
      <c r="AR35" s="86"/>
      <c r="AS35" s="82"/>
      <c r="AT35" s="82"/>
      <c r="AU35" s="86"/>
      <c r="AV35" s="82"/>
      <c r="AW35" s="87"/>
      <c r="AX35" s="63"/>
      <c r="AY35" s="64"/>
      <c r="AZ35" s="65"/>
      <c r="BA35" s="63"/>
      <c r="BB35" s="64"/>
      <c r="BC35" s="65"/>
      <c r="BD35" s="63"/>
      <c r="BE35" s="64"/>
      <c r="BF35" s="65"/>
      <c r="BG35" s="63"/>
      <c r="BH35" s="64"/>
      <c r="BI35" s="65"/>
      <c r="BJ35" s="63"/>
      <c r="BK35" s="64"/>
      <c r="BL35" s="65"/>
      <c r="BM35" s="63"/>
      <c r="BN35" s="64"/>
      <c r="BO35" s="65"/>
      <c r="BP35" s="63"/>
      <c r="BQ35" s="64"/>
      <c r="BR35" s="65"/>
      <c r="BS35" s="63"/>
      <c r="BT35" s="64"/>
      <c r="BU35" s="65"/>
      <c r="BV35" s="63"/>
      <c r="BW35" s="64"/>
      <c r="BX35" s="65"/>
      <c r="BY35" s="68"/>
      <c r="BZ35" s="69"/>
      <c r="CA35" s="70"/>
      <c r="CB35" s="91"/>
      <c r="CC35" s="35"/>
      <c r="CD35" s="35"/>
      <c r="CE35" s="35"/>
      <c r="CF35" s="37" t="s">
        <v>46</v>
      </c>
      <c r="CG35" s="37">
        <f>COUNTIF(Region4,CG32)</f>
        <v>0</v>
      </c>
      <c r="CH35" s="37">
        <f>COUNTIF(Region4,CH32)</f>
        <v>0</v>
      </c>
      <c r="CI35" s="37">
        <f>COUNTIF(Region4,CI32)</f>
        <v>0</v>
      </c>
      <c r="CJ35" s="38">
        <f>CG35*1+CH35*2+CI35*4</f>
        <v>0</v>
      </c>
      <c r="CK35" s="35"/>
      <c r="CL35" s="35"/>
      <c r="CM35" s="37" t="s">
        <v>46</v>
      </c>
      <c r="CN35" s="37">
        <f>COUNTIF(Region9,CN32)</f>
        <v>0</v>
      </c>
      <c r="CO35" s="37">
        <f>COUNTIF(Region9,CO32)</f>
        <v>0</v>
      </c>
      <c r="CP35" s="37">
        <f>COUNTIF(Region9,CP32)</f>
        <v>0</v>
      </c>
      <c r="CQ35" s="38">
        <f>CN35*1+CO35*2+CP35*4</f>
        <v>0</v>
      </c>
    </row>
    <row r="36" spans="1:95" ht="20.100000000000001" customHeight="1" x14ac:dyDescent="0.3">
      <c r="A36" s="93"/>
      <c r="B36" s="68"/>
      <c r="C36" s="69"/>
      <c r="D36" s="70"/>
      <c r="E36" s="68"/>
      <c r="F36" s="69"/>
      <c r="G36" s="70"/>
      <c r="H36" s="68"/>
      <c r="I36" s="69"/>
      <c r="J36" s="70"/>
      <c r="K36" s="68"/>
      <c r="L36" s="69"/>
      <c r="M36" s="70"/>
      <c r="N36" s="68"/>
      <c r="O36" s="69"/>
      <c r="P36" s="70"/>
      <c r="Q36" s="68"/>
      <c r="R36" s="69"/>
      <c r="S36" s="70"/>
      <c r="T36" s="68"/>
      <c r="U36" s="69"/>
      <c r="V36" s="72"/>
      <c r="W36" s="69"/>
      <c r="X36" s="69"/>
      <c r="Y36" s="70"/>
      <c r="Z36" s="68"/>
      <c r="AA36" s="69"/>
      <c r="AB36" s="70"/>
      <c r="AC36" s="68"/>
      <c r="AD36" s="69"/>
      <c r="AE36" s="70"/>
      <c r="AF36" s="68"/>
      <c r="AG36" s="69"/>
      <c r="AH36" s="70"/>
      <c r="AI36" s="68"/>
      <c r="AJ36" s="69"/>
      <c r="AK36" s="70"/>
      <c r="AL36" s="68"/>
      <c r="AM36" s="69"/>
      <c r="AN36" s="70"/>
      <c r="AO36" s="68"/>
      <c r="AP36" s="69"/>
      <c r="AQ36" s="69"/>
      <c r="AR36" s="71"/>
      <c r="AS36" s="69"/>
      <c r="AT36" s="69"/>
      <c r="AU36" s="71"/>
      <c r="AV36" s="69"/>
      <c r="AW36" s="70"/>
      <c r="AX36" s="68"/>
      <c r="AY36" s="69"/>
      <c r="AZ36" s="70"/>
      <c r="BA36" s="68"/>
      <c r="BB36" s="69"/>
      <c r="BC36" s="70"/>
      <c r="BD36" s="68"/>
      <c r="BE36" s="69"/>
      <c r="BF36" s="70"/>
      <c r="BG36" s="68"/>
      <c r="BH36" s="69"/>
      <c r="BI36" s="70"/>
      <c r="BJ36" s="68"/>
      <c r="BK36" s="69"/>
      <c r="BL36" s="70"/>
      <c r="BM36" s="68"/>
      <c r="BN36" s="69"/>
      <c r="BO36" s="70"/>
      <c r="BP36" s="68"/>
      <c r="BQ36" s="69"/>
      <c r="BR36" s="70"/>
      <c r="BS36" s="68"/>
      <c r="BT36" s="69"/>
      <c r="BU36" s="70"/>
      <c r="BV36" s="68"/>
      <c r="BW36" s="69"/>
      <c r="BX36" s="70"/>
      <c r="BY36" s="68"/>
      <c r="BZ36" s="69"/>
      <c r="CA36" s="70"/>
      <c r="CB36" s="95"/>
      <c r="CC36" s="35"/>
      <c r="CD36" s="35"/>
      <c r="CE36" s="35"/>
      <c r="CF36" s="37" t="s">
        <v>48</v>
      </c>
      <c r="CG36" s="37">
        <f>SUM(COUNTIF(Region4,CONCATENATE(CG32," *",$CL36)),COUNTIF(Region4,CONCATENATE(CG32,"c *",$CL36)))-CG37</f>
        <v>0</v>
      </c>
      <c r="CH36" s="37">
        <f>SUM(COUNTIF(Region4,CONCATENATE(CH32," *",$CL36)),COUNTIF(Region4,CONCATENATE(CH32,"c *",$CL36)))-CH37</f>
        <v>0</v>
      </c>
      <c r="CI36" s="37">
        <f>SUM(COUNTIF(Region4,CONCATENATE(CI32," *",$CL36)),COUNTIF(Region4,CONCATENATE(CI32,"c *",$CL36)))-CI37</f>
        <v>0</v>
      </c>
      <c r="CJ36" s="38">
        <f>CG36*1+CH36*2+CI36*4</f>
        <v>0</v>
      </c>
      <c r="CK36" s="35"/>
      <c r="CL36" s="35"/>
      <c r="CM36" s="37" t="s">
        <v>48</v>
      </c>
      <c r="CN36" s="37">
        <f>SUM(COUNTIF(Region9,CONCATENATE(CN32," *",$CL36)),COUNTIF(Region9,CONCATENATE(CN32,"c *",$CL36)))-CN37</f>
        <v>0</v>
      </c>
      <c r="CO36" s="37">
        <f>SUM(COUNTIF(Region9,CONCATENATE(CO32," *",$CL36)),COUNTIF(Region9,CONCATENATE(CO32,"c *",$CL36)))-CO37</f>
        <v>0</v>
      </c>
      <c r="CP36" s="37">
        <f>SUM(COUNTIF(Region9,CONCATENATE(CP32," *",$CL36)),COUNTIF(Region9,CONCATENATE(CP32,"c *",$CL36)))-CP37</f>
        <v>0</v>
      </c>
      <c r="CQ36" s="38">
        <f>CN36*1+CO36*2+CP36*4</f>
        <v>0</v>
      </c>
    </row>
    <row r="37" spans="1:95" ht="20.100000000000001" customHeight="1" thickBot="1" x14ac:dyDescent="0.35">
      <c r="A37" s="94"/>
      <c r="B37" s="73"/>
      <c r="C37" s="74"/>
      <c r="D37" s="75"/>
      <c r="E37" s="73"/>
      <c r="F37" s="74"/>
      <c r="G37" s="75"/>
      <c r="H37" s="73"/>
      <c r="I37" s="74"/>
      <c r="J37" s="75"/>
      <c r="K37" s="73"/>
      <c r="L37" s="74"/>
      <c r="M37" s="75"/>
      <c r="N37" s="73"/>
      <c r="O37" s="74"/>
      <c r="P37" s="75"/>
      <c r="Q37" s="73"/>
      <c r="R37" s="74"/>
      <c r="S37" s="75"/>
      <c r="T37" s="73"/>
      <c r="U37" s="74"/>
      <c r="V37" s="84"/>
      <c r="W37" s="69"/>
      <c r="X37" s="69"/>
      <c r="Y37" s="70"/>
      <c r="Z37" s="73"/>
      <c r="AA37" s="74"/>
      <c r="AB37" s="75"/>
      <c r="AC37" s="73"/>
      <c r="AD37" s="74"/>
      <c r="AE37" s="75"/>
      <c r="AF37" s="73"/>
      <c r="AG37" s="74"/>
      <c r="AH37" s="75"/>
      <c r="AI37" s="73"/>
      <c r="AJ37" s="74"/>
      <c r="AK37" s="75"/>
      <c r="AL37" s="73"/>
      <c r="AM37" s="74"/>
      <c r="AN37" s="75"/>
      <c r="AO37" s="73"/>
      <c r="AP37" s="74"/>
      <c r="AQ37" s="74"/>
      <c r="AR37" s="85"/>
      <c r="AS37" s="74"/>
      <c r="AT37" s="74"/>
      <c r="AU37" s="76"/>
      <c r="AV37" s="77"/>
      <c r="AW37" s="78"/>
      <c r="AX37" s="73"/>
      <c r="AY37" s="74"/>
      <c r="AZ37" s="75"/>
      <c r="BA37" s="73"/>
      <c r="BB37" s="74"/>
      <c r="BC37" s="75"/>
      <c r="BD37" s="73"/>
      <c r="BE37" s="74"/>
      <c r="BF37" s="75"/>
      <c r="BG37" s="73"/>
      <c r="BH37" s="74"/>
      <c r="BI37" s="75"/>
      <c r="BJ37" s="73"/>
      <c r="BK37" s="74"/>
      <c r="BL37" s="75"/>
      <c r="BM37" s="73"/>
      <c r="BN37" s="74"/>
      <c r="BO37" s="75"/>
      <c r="BP37" s="73"/>
      <c r="BQ37" s="74"/>
      <c r="BR37" s="75"/>
      <c r="BS37" s="73"/>
      <c r="BT37" s="74"/>
      <c r="BU37" s="75"/>
      <c r="BV37" s="73"/>
      <c r="BW37" s="74"/>
      <c r="BX37" s="75"/>
      <c r="BY37" s="73"/>
      <c r="BZ37" s="74"/>
      <c r="CA37" s="75"/>
      <c r="CB37" s="96"/>
      <c r="CC37" s="35"/>
      <c r="CD37" s="35"/>
      <c r="CE37" s="39" t="s">
        <v>21</v>
      </c>
      <c r="CF37" s="37" t="s">
        <v>44</v>
      </c>
      <c r="CG37" s="37">
        <f>SUM(COUNTIF(Region4,CONCATENATE(CG32," ",$CE37)),COUNTIF(Region4,CONCATENATE(CG32,"c ",$CE37)))</f>
        <v>0</v>
      </c>
      <c r="CH37" s="37">
        <f>SUM(COUNTIF(Region4,CONCATENATE(CH32," ",$CE37)),COUNTIF(Region4,CONCATENATE(CH32,"c ",$CE37)))</f>
        <v>0</v>
      </c>
      <c r="CI37" s="37">
        <f>SUM(COUNTIF(Region4,CONCATENATE(CI32," ",$CE37)),COUNTIF(Region4,CONCATENATE(CI32,"c ",$CE37)))</f>
        <v>0</v>
      </c>
      <c r="CJ37" s="38">
        <f>CG37*1+CH37*2+CI37*4</f>
        <v>0</v>
      </c>
      <c r="CK37" s="35"/>
      <c r="CL37" s="39" t="s">
        <v>25</v>
      </c>
      <c r="CM37" s="37" t="s">
        <v>44</v>
      </c>
      <c r="CN37" s="37">
        <f>SUM(COUNTIF(Region9,CONCATENATE(CN32," ",$CL37)),COUNTIF(Region9,CONCATENATE(CN32,"c ",$CL37)))</f>
        <v>0</v>
      </c>
      <c r="CO37" s="37">
        <f>SUM(COUNTIF(Region9,CONCATENATE(CO32," ",$CL37)),COUNTIF(Region9,CONCATENATE(CO32,"c ",$CL37)))</f>
        <v>0</v>
      </c>
      <c r="CP37" s="37">
        <f>SUM(COUNTIF(Region9,CONCATENATE(CP32," ",$CL37)),COUNTIF(Region9,CONCATENATE(CP32,"c ",$CL37)))</f>
        <v>0</v>
      </c>
      <c r="CQ37" s="38">
        <f>CN37*1+CO37*2+CP37*4</f>
        <v>0</v>
      </c>
    </row>
    <row r="38" spans="1:95" ht="20.100000000000001" customHeight="1" x14ac:dyDescent="0.3">
      <c r="A38" s="92"/>
      <c r="B38" s="63"/>
      <c r="C38" s="64"/>
      <c r="D38" s="65"/>
      <c r="E38" s="63"/>
      <c r="F38" s="64"/>
      <c r="G38" s="65"/>
      <c r="H38" s="63"/>
      <c r="I38" s="64"/>
      <c r="J38" s="65"/>
      <c r="K38" s="63"/>
      <c r="L38" s="64"/>
      <c r="M38" s="65"/>
      <c r="N38" s="63"/>
      <c r="O38" s="64"/>
      <c r="P38" s="65"/>
      <c r="Q38" s="63"/>
      <c r="R38" s="64"/>
      <c r="S38" s="65"/>
      <c r="T38" s="63"/>
      <c r="U38" s="64"/>
      <c r="V38" s="64"/>
      <c r="W38" s="66"/>
      <c r="X38" s="64"/>
      <c r="Y38" s="65"/>
      <c r="Z38" s="64"/>
      <c r="AA38" s="64"/>
      <c r="AB38" s="65"/>
      <c r="AC38" s="63"/>
      <c r="AD38" s="64"/>
      <c r="AE38" s="65"/>
      <c r="AF38" s="63"/>
      <c r="AG38" s="64"/>
      <c r="AH38" s="65"/>
      <c r="AI38" s="63"/>
      <c r="AJ38" s="64"/>
      <c r="AK38" s="65"/>
      <c r="AL38" s="63"/>
      <c r="AM38" s="64"/>
      <c r="AN38" s="65"/>
      <c r="AO38" s="63"/>
      <c r="AP38" s="64"/>
      <c r="AQ38" s="64"/>
      <c r="AR38" s="66"/>
      <c r="AS38" s="64"/>
      <c r="AT38" s="65"/>
      <c r="AU38" s="81"/>
      <c r="AV38" s="82"/>
      <c r="AW38" s="83"/>
      <c r="AX38" s="64"/>
      <c r="AY38" s="64"/>
      <c r="AZ38" s="65"/>
      <c r="BA38" s="63"/>
      <c r="BB38" s="64"/>
      <c r="BC38" s="65"/>
      <c r="BD38" s="63"/>
      <c r="BE38" s="64"/>
      <c r="BF38" s="65"/>
      <c r="BG38" s="63"/>
      <c r="BH38" s="64"/>
      <c r="BI38" s="65"/>
      <c r="BJ38" s="63"/>
      <c r="BK38" s="64"/>
      <c r="BL38" s="65"/>
      <c r="BM38" s="63"/>
      <c r="BN38" s="64"/>
      <c r="BO38" s="65"/>
      <c r="BP38" s="63"/>
      <c r="BQ38" s="64"/>
      <c r="BR38" s="65"/>
      <c r="BS38" s="63"/>
      <c r="BT38" s="64"/>
      <c r="BU38" s="65"/>
      <c r="BV38" s="63"/>
      <c r="BW38" s="64"/>
      <c r="BX38" s="65"/>
      <c r="BY38" s="63"/>
      <c r="BZ38" s="64"/>
      <c r="CA38" s="65"/>
      <c r="CB38" s="91"/>
      <c r="CC38" s="35"/>
      <c r="CD38" s="35"/>
      <c r="CE38" s="35"/>
      <c r="CF38" s="37" t="s">
        <v>31</v>
      </c>
      <c r="CG38" s="37">
        <f>SUM(COUNTIF(Region4,"# "),COUNTIF(Region4,"#"),COUNTIF(Region4,"P"),COUNTIF(Region4,"US"),COUNTIF(Region4,"US c"))</f>
        <v>0</v>
      </c>
      <c r="CH38" s="37" t="s">
        <v>45</v>
      </c>
      <c r="CI38" s="40">
        <f>SUM(CG34:CI34,CG38:CG39)/CF32</f>
        <v>1.3698630136986301E-2</v>
      </c>
      <c r="CJ38" s="35"/>
      <c r="CK38" s="35"/>
      <c r="CL38" s="35"/>
      <c r="CM38" s="37" t="s">
        <v>31</v>
      </c>
      <c r="CN38" s="37">
        <f>SUM(COUNTIF(Region9,"# "),COUNTIF(Region9,"#"),COUNTIF(Region9,"P"),COUNTIF(Region9,"US"),COUNTIF(Region9,"US c"))</f>
        <v>0</v>
      </c>
      <c r="CO38" s="37" t="s">
        <v>45</v>
      </c>
      <c r="CP38" s="40">
        <f>SUM(CN34:CP34,CN38:CN39)/CM32</f>
        <v>1.5625E-2</v>
      </c>
      <c r="CQ38" s="35"/>
    </row>
    <row r="39" spans="1:95" ht="20.100000000000001" customHeight="1" x14ac:dyDescent="0.3">
      <c r="A39" s="93"/>
      <c r="B39" s="68"/>
      <c r="C39" s="69"/>
      <c r="D39" s="70"/>
      <c r="E39" s="68"/>
      <c r="F39" s="69"/>
      <c r="G39" s="70"/>
      <c r="H39" s="68"/>
      <c r="I39" s="69"/>
      <c r="J39" s="70"/>
      <c r="K39" s="68"/>
      <c r="L39" s="69"/>
      <c r="M39" s="70"/>
      <c r="N39" s="68"/>
      <c r="O39" s="69"/>
      <c r="P39" s="70"/>
      <c r="Q39" s="68"/>
      <c r="R39" s="69"/>
      <c r="S39" s="70"/>
      <c r="T39" s="68"/>
      <c r="U39" s="69"/>
      <c r="V39" s="69"/>
      <c r="W39" s="71"/>
      <c r="X39" s="69"/>
      <c r="Y39" s="70"/>
      <c r="Z39" s="69"/>
      <c r="AA39" s="69"/>
      <c r="AB39" s="70"/>
      <c r="AC39" s="68"/>
      <c r="AD39" s="69"/>
      <c r="AE39" s="70"/>
      <c r="AF39" s="68"/>
      <c r="AG39" s="69"/>
      <c r="AH39" s="70"/>
      <c r="AI39" s="68"/>
      <c r="AJ39" s="69"/>
      <c r="AK39" s="70"/>
      <c r="AL39" s="68"/>
      <c r="AM39" s="69"/>
      <c r="AN39" s="70"/>
      <c r="AO39" s="68"/>
      <c r="AP39" s="69"/>
      <c r="AQ39" s="69"/>
      <c r="AR39" s="71"/>
      <c r="AS39" s="69"/>
      <c r="AT39" s="70"/>
      <c r="AU39" s="68"/>
      <c r="AV39" s="69"/>
      <c r="AW39" s="72"/>
      <c r="AX39" s="69"/>
      <c r="AY39" s="69"/>
      <c r="AZ39" s="70"/>
      <c r="BA39" s="68"/>
      <c r="BB39" s="69"/>
      <c r="BC39" s="70"/>
      <c r="BD39" s="68"/>
      <c r="BE39" s="69"/>
      <c r="BF39" s="70"/>
      <c r="BG39" s="68"/>
      <c r="BH39" s="69"/>
      <c r="BI39" s="70"/>
      <c r="BJ39" s="68"/>
      <c r="BK39" s="69"/>
      <c r="BL39" s="70"/>
      <c r="BM39" s="68"/>
      <c r="BN39" s="69"/>
      <c r="BO39" s="70"/>
      <c r="BP39" s="68"/>
      <c r="BQ39" s="69"/>
      <c r="BR39" s="70"/>
      <c r="BS39" s="68"/>
      <c r="BT39" s="69"/>
      <c r="BU39" s="70"/>
      <c r="BV39" s="68"/>
      <c r="BW39" s="69"/>
      <c r="BX39" s="70"/>
      <c r="BY39" s="68"/>
      <c r="BZ39" s="69"/>
      <c r="CA39" s="70"/>
      <c r="CB39" s="95"/>
      <c r="CC39" s="35"/>
      <c r="CD39" s="35"/>
      <c r="CE39" s="35"/>
      <c r="CF39" s="37" t="s">
        <v>28</v>
      </c>
      <c r="CG39" s="37"/>
      <c r="CH39" s="37" t="s">
        <v>30</v>
      </c>
      <c r="CI39" s="37">
        <f>CF32-SUM(CG34:CI34)-SUM(CG38:CG39)</f>
        <v>72</v>
      </c>
      <c r="CJ39" s="35"/>
      <c r="CK39" s="35"/>
      <c r="CL39" s="35"/>
      <c r="CM39" s="37" t="s">
        <v>28</v>
      </c>
      <c r="CN39" s="37"/>
      <c r="CO39" s="37" t="s">
        <v>30</v>
      </c>
      <c r="CP39" s="37">
        <f>CM32-SUM(CN34:CP34)-SUM(CN38:CN39)</f>
        <v>63</v>
      </c>
      <c r="CQ39" s="35"/>
    </row>
    <row r="40" spans="1:95" ht="20.100000000000001" customHeight="1" thickBot="1" x14ac:dyDescent="0.35">
      <c r="A40" s="94"/>
      <c r="B40" s="73"/>
      <c r="C40" s="74"/>
      <c r="D40" s="75"/>
      <c r="E40" s="73"/>
      <c r="F40" s="74"/>
      <c r="G40" s="75"/>
      <c r="H40" s="73"/>
      <c r="I40" s="74"/>
      <c r="J40" s="75"/>
      <c r="K40" s="73"/>
      <c r="L40" s="74"/>
      <c r="M40" s="75"/>
      <c r="N40" s="73"/>
      <c r="O40" s="74"/>
      <c r="P40" s="75"/>
      <c r="Q40" s="73"/>
      <c r="R40" s="74"/>
      <c r="S40" s="75"/>
      <c r="T40" s="73"/>
      <c r="U40" s="74"/>
      <c r="V40" s="74"/>
      <c r="W40" s="85"/>
      <c r="X40" s="74"/>
      <c r="Y40" s="75"/>
      <c r="Z40" s="69"/>
      <c r="AA40" s="69"/>
      <c r="AB40" s="70"/>
      <c r="AC40" s="73"/>
      <c r="AD40" s="74"/>
      <c r="AE40" s="75"/>
      <c r="AF40" s="73"/>
      <c r="AG40" s="74"/>
      <c r="AH40" s="75"/>
      <c r="AI40" s="73"/>
      <c r="AJ40" s="74"/>
      <c r="AK40" s="75"/>
      <c r="AL40" s="73"/>
      <c r="AM40" s="74"/>
      <c r="AN40" s="75"/>
      <c r="AO40" s="73"/>
      <c r="AP40" s="74"/>
      <c r="AQ40" s="74"/>
      <c r="AR40" s="85"/>
      <c r="AS40" s="74"/>
      <c r="AT40" s="75"/>
      <c r="AU40" s="73"/>
      <c r="AV40" s="74"/>
      <c r="AW40" s="84"/>
      <c r="AX40" s="74"/>
      <c r="AY40" s="74"/>
      <c r="AZ40" s="75"/>
      <c r="BA40" s="73"/>
      <c r="BB40" s="74"/>
      <c r="BC40" s="75"/>
      <c r="BD40" s="68"/>
      <c r="BE40" s="69"/>
      <c r="BF40" s="70"/>
      <c r="BG40" s="68"/>
      <c r="BH40" s="69"/>
      <c r="BI40" s="70"/>
      <c r="BJ40" s="68"/>
      <c r="BK40" s="69"/>
      <c r="BL40" s="70"/>
      <c r="BM40" s="68"/>
      <c r="BN40" s="69"/>
      <c r="BO40" s="70"/>
      <c r="BP40" s="68"/>
      <c r="BQ40" s="69"/>
      <c r="BR40" s="70"/>
      <c r="BS40" s="68"/>
      <c r="BT40" s="69"/>
      <c r="BU40" s="70"/>
      <c r="BV40" s="68"/>
      <c r="BW40" s="69"/>
      <c r="BX40" s="70"/>
      <c r="BY40" s="68"/>
      <c r="BZ40" s="69"/>
      <c r="CA40" s="70"/>
      <c r="CB40" s="96"/>
      <c r="CC40" s="35"/>
      <c r="CD40" s="35"/>
      <c r="CE40" s="35"/>
      <c r="CF40" s="37" t="s">
        <v>29</v>
      </c>
      <c r="CG40" s="41">
        <f>IFERROR((SUM($CG33:$CH33)-SUM($CG34:$CH34))*(CG33-CG34)/(SUM($CG33:$CH33)-SUM($CG34:$CH34))*$CG39/($CF32-SUM($CG34:$CI34)-$CG38),0)</f>
        <v>0</v>
      </c>
      <c r="CH40" s="41">
        <f>IFERROR((SUM($CG33:$CH33)-SUM($CG34:$CH34))*(CH33-CH34)/(SUM($CG33:$CH33)-SUM($CG34:$CH34))*$CG39/($CF32-SUM($CG34:$CI34)-$CG38),0)</f>
        <v>0</v>
      </c>
      <c r="CI40" s="38">
        <f>ROUNDDOWN(CG40,0)+ROUNDDOWN(CH40,0)*2</f>
        <v>0</v>
      </c>
      <c r="CJ40" s="35"/>
      <c r="CK40" s="35"/>
      <c r="CL40" s="35"/>
      <c r="CM40" s="37" t="s">
        <v>29</v>
      </c>
      <c r="CN40" s="41">
        <f>IFERROR((SUM($CN33:$CO33)-SUM($CN34:$CO34))*(CN33-CN34)/(SUM($CN33:$CO33)-SUM($CN34:$CO34))*$CN39/($CM32-SUM($CN34:$CP34)-$CN38),0)</f>
        <v>0</v>
      </c>
      <c r="CO40" s="41">
        <f>IFERROR((SUM($CN33:$CO33)-SUM($CN34:$CO34))*(CO33-CO34)/(SUM($CN33:$CO33)-SUM($CN34:$CO34))*$CN39/($CM32-SUM($CN34:$CP34)-$CN38),0)</f>
        <v>0</v>
      </c>
      <c r="CP40" s="38">
        <f>ROUNDDOWN(CN40,0)+ROUNDDOWN(CO40,0)*2</f>
        <v>0</v>
      </c>
      <c r="CQ40" s="35"/>
    </row>
    <row r="41" spans="1:95" ht="20.100000000000001" customHeight="1" x14ac:dyDescent="0.25">
      <c r="A41" s="92"/>
      <c r="B41" s="63"/>
      <c r="C41" s="64"/>
      <c r="D41" s="65"/>
      <c r="E41" s="63"/>
      <c r="F41" s="64"/>
      <c r="G41" s="65"/>
      <c r="H41" s="63"/>
      <c r="I41" s="64"/>
      <c r="J41" s="65"/>
      <c r="K41" s="63"/>
      <c r="L41" s="64"/>
      <c r="M41" s="65"/>
      <c r="N41" s="63"/>
      <c r="O41" s="64"/>
      <c r="P41" s="65"/>
      <c r="Q41" s="63"/>
      <c r="R41" s="64"/>
      <c r="S41" s="65"/>
      <c r="T41" s="63"/>
      <c r="U41" s="64"/>
      <c r="V41" s="64"/>
      <c r="W41" s="66"/>
      <c r="X41" s="64"/>
      <c r="Y41" s="65"/>
      <c r="Z41" s="63"/>
      <c r="AA41" s="64"/>
      <c r="AB41" s="65"/>
      <c r="AC41" s="64"/>
      <c r="AD41" s="64"/>
      <c r="AE41" s="65"/>
      <c r="AF41" s="63"/>
      <c r="AG41" s="64"/>
      <c r="AH41" s="65"/>
      <c r="AI41" s="63"/>
      <c r="AJ41" s="64"/>
      <c r="AK41" s="65"/>
      <c r="AL41" s="63"/>
      <c r="AM41" s="64"/>
      <c r="AN41" s="65"/>
      <c r="AO41" s="63"/>
      <c r="AP41" s="64"/>
      <c r="AQ41" s="64"/>
      <c r="AR41" s="66"/>
      <c r="AS41" s="64"/>
      <c r="AT41" s="65"/>
      <c r="AU41" s="63"/>
      <c r="AV41" s="64"/>
      <c r="AW41" s="67"/>
      <c r="AX41" s="64"/>
      <c r="AY41" s="64"/>
      <c r="AZ41" s="65"/>
      <c r="BA41" s="63"/>
      <c r="BB41" s="64"/>
      <c r="BC41" s="67"/>
      <c r="BD41" s="86"/>
      <c r="BE41" s="82"/>
      <c r="BF41" s="87"/>
      <c r="BG41" s="81"/>
      <c r="BH41" s="82"/>
      <c r="BI41" s="87"/>
      <c r="BJ41" s="81"/>
      <c r="BK41" s="82"/>
      <c r="BL41" s="87"/>
      <c r="BM41" s="81"/>
      <c r="BN41" s="82"/>
      <c r="BO41" s="87"/>
      <c r="BP41" s="81"/>
      <c r="BQ41" s="82"/>
      <c r="BR41" s="87"/>
      <c r="BS41" s="81"/>
      <c r="BT41" s="82"/>
      <c r="BU41" s="87"/>
      <c r="BV41" s="81"/>
      <c r="BW41" s="82"/>
      <c r="BX41" s="87"/>
      <c r="BY41" s="81"/>
      <c r="BZ41" s="82"/>
      <c r="CA41" s="87"/>
      <c r="CB41" s="91"/>
      <c r="CC41" s="35"/>
      <c r="CD41" s="35"/>
      <c r="CE41" s="35"/>
      <c r="CF41" s="36" t="s">
        <v>14</v>
      </c>
      <c r="CG41" s="35"/>
      <c r="CH41" s="35"/>
      <c r="CI41" s="35"/>
      <c r="CJ41" s="36" t="s">
        <v>74</v>
      </c>
      <c r="CK41" s="35"/>
      <c r="CL41" s="35"/>
      <c r="CM41" s="36" t="s">
        <v>14</v>
      </c>
      <c r="CN41" s="35"/>
      <c r="CO41" s="35"/>
      <c r="CP41" s="35"/>
      <c r="CQ41" s="36" t="s">
        <v>74</v>
      </c>
    </row>
    <row r="42" spans="1:95" ht="20.100000000000001" customHeight="1" x14ac:dyDescent="0.3">
      <c r="A42" s="93"/>
      <c r="B42" s="68"/>
      <c r="C42" s="69"/>
      <c r="D42" s="70"/>
      <c r="E42" s="68"/>
      <c r="F42" s="69"/>
      <c r="G42" s="70"/>
      <c r="H42" s="68"/>
      <c r="I42" s="69"/>
      <c r="J42" s="70"/>
      <c r="K42" s="68"/>
      <c r="L42" s="69"/>
      <c r="M42" s="70"/>
      <c r="N42" s="68"/>
      <c r="O42" s="69"/>
      <c r="P42" s="70"/>
      <c r="Q42" s="68"/>
      <c r="R42" s="69"/>
      <c r="S42" s="70"/>
      <c r="T42" s="68"/>
      <c r="U42" s="69"/>
      <c r="V42" s="69"/>
      <c r="W42" s="71"/>
      <c r="X42" s="69"/>
      <c r="Y42" s="70"/>
      <c r="Z42" s="68"/>
      <c r="AA42" s="69"/>
      <c r="AB42" s="70"/>
      <c r="AC42" s="69"/>
      <c r="AD42" s="69"/>
      <c r="AE42" s="70"/>
      <c r="AF42" s="68"/>
      <c r="AG42" s="69"/>
      <c r="AH42" s="70"/>
      <c r="AI42" s="68"/>
      <c r="AJ42" s="69"/>
      <c r="AK42" s="70"/>
      <c r="AL42" s="68"/>
      <c r="AM42" s="69"/>
      <c r="AN42" s="70"/>
      <c r="AO42" s="68"/>
      <c r="AP42" s="69"/>
      <c r="AQ42" s="69"/>
      <c r="AR42" s="71"/>
      <c r="AS42" s="69"/>
      <c r="AT42" s="70"/>
      <c r="AU42" s="68"/>
      <c r="AV42" s="69"/>
      <c r="AW42" s="72"/>
      <c r="AX42" s="69"/>
      <c r="AY42" s="69"/>
      <c r="AZ42" s="70"/>
      <c r="BA42" s="68"/>
      <c r="BB42" s="69"/>
      <c r="BC42" s="72"/>
      <c r="BD42" s="71"/>
      <c r="BE42" s="69"/>
      <c r="BF42" s="70"/>
      <c r="BG42" s="68"/>
      <c r="BH42" s="69"/>
      <c r="BI42" s="70"/>
      <c r="BJ42" s="68"/>
      <c r="BK42" s="69"/>
      <c r="BL42" s="70"/>
      <c r="BM42" s="68"/>
      <c r="BN42" s="69"/>
      <c r="BO42" s="70"/>
      <c r="BP42" s="68"/>
      <c r="BQ42" s="69"/>
      <c r="BR42" s="70"/>
      <c r="BS42" s="68"/>
      <c r="BT42" s="69"/>
      <c r="BU42" s="70"/>
      <c r="BV42" s="68"/>
      <c r="BW42" s="69"/>
      <c r="BX42" s="70"/>
      <c r="BY42" s="68"/>
      <c r="BZ42" s="69"/>
      <c r="CA42" s="70"/>
      <c r="CB42" s="95"/>
      <c r="CC42" s="35"/>
      <c r="CD42" s="35"/>
      <c r="CE42" s="37">
        <v>5</v>
      </c>
      <c r="CF42" s="37">
        <f>COUNTA(Region5)</f>
        <v>68</v>
      </c>
      <c r="CG42" s="37" t="s">
        <v>3</v>
      </c>
      <c r="CH42" s="37" t="s">
        <v>2</v>
      </c>
      <c r="CI42" s="37" t="s">
        <v>0</v>
      </c>
      <c r="CJ42" s="35"/>
      <c r="CK42" s="35"/>
      <c r="CL42" s="37">
        <v>10</v>
      </c>
      <c r="CM42" s="37">
        <f>COUNTA(Region10)</f>
        <v>67</v>
      </c>
      <c r="CN42" s="37" t="s">
        <v>3</v>
      </c>
      <c r="CO42" s="37" t="s">
        <v>2</v>
      </c>
      <c r="CP42" s="37" t="s">
        <v>0</v>
      </c>
      <c r="CQ42" s="35"/>
    </row>
    <row r="43" spans="1:95" ht="20.100000000000001" customHeight="1" thickBot="1" x14ac:dyDescent="0.35">
      <c r="A43" s="94"/>
      <c r="B43" s="73"/>
      <c r="C43" s="74"/>
      <c r="D43" s="75"/>
      <c r="E43" s="73"/>
      <c r="F43" s="74"/>
      <c r="G43" s="75"/>
      <c r="H43" s="73"/>
      <c r="I43" s="74"/>
      <c r="J43" s="75"/>
      <c r="K43" s="73"/>
      <c r="L43" s="74"/>
      <c r="M43" s="75"/>
      <c r="N43" s="73"/>
      <c r="O43" s="74"/>
      <c r="P43" s="75"/>
      <c r="Q43" s="73"/>
      <c r="R43" s="74"/>
      <c r="S43" s="75"/>
      <c r="T43" s="73"/>
      <c r="U43" s="74"/>
      <c r="V43" s="74"/>
      <c r="W43" s="76"/>
      <c r="X43" s="77"/>
      <c r="Y43" s="78"/>
      <c r="Z43" s="79"/>
      <c r="AA43" s="77"/>
      <c r="AB43" s="78"/>
      <c r="AC43" s="74"/>
      <c r="AD43" s="74"/>
      <c r="AE43" s="75"/>
      <c r="AF43" s="73"/>
      <c r="AG43" s="74"/>
      <c r="AH43" s="75"/>
      <c r="AI43" s="73"/>
      <c r="AJ43" s="74"/>
      <c r="AK43" s="75"/>
      <c r="AL43" s="73"/>
      <c r="AM43" s="74"/>
      <c r="AN43" s="75"/>
      <c r="AO43" s="68"/>
      <c r="AP43" s="69"/>
      <c r="AQ43" s="69"/>
      <c r="AR43" s="85"/>
      <c r="AS43" s="74"/>
      <c r="AT43" s="75"/>
      <c r="AU43" s="73"/>
      <c r="AV43" s="74"/>
      <c r="AW43" s="84"/>
      <c r="AX43" s="74"/>
      <c r="AY43" s="74"/>
      <c r="AZ43" s="75"/>
      <c r="BA43" s="68"/>
      <c r="BB43" s="69"/>
      <c r="BC43" s="72"/>
      <c r="BD43" s="85"/>
      <c r="BE43" s="74"/>
      <c r="BF43" s="75"/>
      <c r="BG43" s="73"/>
      <c r="BH43" s="74"/>
      <c r="BI43" s="75"/>
      <c r="BJ43" s="73"/>
      <c r="BK43" s="74"/>
      <c r="BL43" s="75"/>
      <c r="BM43" s="73"/>
      <c r="BN43" s="74"/>
      <c r="BO43" s="75"/>
      <c r="BP43" s="73"/>
      <c r="BQ43" s="74"/>
      <c r="BR43" s="75"/>
      <c r="BS43" s="73"/>
      <c r="BT43" s="74"/>
      <c r="BU43" s="75"/>
      <c r="BV43" s="73"/>
      <c r="BW43" s="74"/>
      <c r="BX43" s="75"/>
      <c r="BY43" s="73"/>
      <c r="BZ43" s="74"/>
      <c r="CA43" s="75"/>
      <c r="CB43" s="96"/>
      <c r="CC43" s="35"/>
      <c r="CD43" s="35"/>
      <c r="CE43" s="35"/>
      <c r="CF43" s="37" t="s">
        <v>15</v>
      </c>
      <c r="CG43" s="37">
        <v>8</v>
      </c>
      <c r="CH43" s="37">
        <v>7</v>
      </c>
      <c r="CI43" s="37">
        <v>2</v>
      </c>
      <c r="CJ43" s="38">
        <f>CG43*1+CH43*2+CI43*4</f>
        <v>30</v>
      </c>
      <c r="CK43" s="35"/>
      <c r="CL43" s="35"/>
      <c r="CM43" s="37" t="s">
        <v>15</v>
      </c>
      <c r="CN43" s="37">
        <v>8</v>
      </c>
      <c r="CO43" s="37">
        <v>7</v>
      </c>
      <c r="CP43" s="37">
        <v>1</v>
      </c>
      <c r="CQ43" s="38">
        <f>CN43*1+CO43*2+CP43*4</f>
        <v>26</v>
      </c>
    </row>
    <row r="44" spans="1:95" ht="20.100000000000001" customHeight="1" x14ac:dyDescent="0.3">
      <c r="A44" s="92"/>
      <c r="B44" s="63"/>
      <c r="C44" s="64"/>
      <c r="D44" s="65"/>
      <c r="E44" s="63"/>
      <c r="F44" s="64"/>
      <c r="G44" s="65"/>
      <c r="H44" s="63"/>
      <c r="I44" s="64"/>
      <c r="J44" s="65"/>
      <c r="K44" s="63"/>
      <c r="L44" s="64"/>
      <c r="M44" s="65"/>
      <c r="N44" s="63"/>
      <c r="O44" s="64"/>
      <c r="P44" s="65"/>
      <c r="Q44" s="63"/>
      <c r="R44" s="64"/>
      <c r="S44" s="65"/>
      <c r="T44" s="63"/>
      <c r="U44" s="64"/>
      <c r="V44" s="65"/>
      <c r="W44" s="68"/>
      <c r="X44" s="69"/>
      <c r="Y44" s="70"/>
      <c r="Z44" s="68"/>
      <c r="AA44" s="69"/>
      <c r="AB44" s="72"/>
      <c r="AC44" s="64"/>
      <c r="AD44" s="64"/>
      <c r="AE44" s="65"/>
      <c r="AF44" s="63"/>
      <c r="AG44" s="64"/>
      <c r="AH44" s="65"/>
      <c r="AI44" s="63"/>
      <c r="AJ44" s="64"/>
      <c r="AK44" s="65"/>
      <c r="AL44" s="63"/>
      <c r="AM44" s="64"/>
      <c r="AN44" s="64"/>
      <c r="AO44" s="86"/>
      <c r="AP44" s="82"/>
      <c r="AQ44" s="87"/>
      <c r="AR44" s="64"/>
      <c r="AS44" s="64"/>
      <c r="AT44" s="65"/>
      <c r="AU44" s="63"/>
      <c r="AV44" s="64"/>
      <c r="AW44" s="67"/>
      <c r="AX44" s="64"/>
      <c r="AY44" s="64"/>
      <c r="AZ44" s="64"/>
      <c r="BA44" s="63"/>
      <c r="BB44" s="64"/>
      <c r="BC44" s="67"/>
      <c r="BD44" s="64"/>
      <c r="BE44" s="64"/>
      <c r="BF44" s="65"/>
      <c r="BG44" s="63"/>
      <c r="BH44" s="64"/>
      <c r="BI44" s="65"/>
      <c r="BJ44" s="63"/>
      <c r="BK44" s="64"/>
      <c r="BL44" s="65"/>
      <c r="BM44" s="63"/>
      <c r="BN44" s="64"/>
      <c r="BO44" s="65"/>
      <c r="BP44" s="63"/>
      <c r="BQ44" s="64"/>
      <c r="BR44" s="65"/>
      <c r="BS44" s="63"/>
      <c r="BT44" s="64"/>
      <c r="BU44" s="65"/>
      <c r="BV44" s="63"/>
      <c r="BW44" s="64"/>
      <c r="BX44" s="65"/>
      <c r="BY44" s="63"/>
      <c r="BZ44" s="64"/>
      <c r="CA44" s="65"/>
      <c r="CB44" s="91"/>
      <c r="CC44" s="35"/>
      <c r="CD44" s="35"/>
      <c r="CE44" s="35"/>
      <c r="CF44" s="37" t="s">
        <v>16</v>
      </c>
      <c r="CG44" s="37">
        <f>SUM(CG45:CG47)</f>
        <v>0</v>
      </c>
      <c r="CH44" s="37">
        <f>SUM(CH45:CH47)</f>
        <v>0</v>
      </c>
      <c r="CI44" s="37">
        <f>IF(SUM(CI45:CI47)&lt;CI43,CI43,SUM(CI45:CI47))</f>
        <v>2</v>
      </c>
      <c r="CJ44" s="38">
        <f>CG44*1+CH44*2+CI44*4</f>
        <v>8</v>
      </c>
      <c r="CK44" s="35"/>
      <c r="CL44" s="35"/>
      <c r="CM44" s="37" t="s">
        <v>16</v>
      </c>
      <c r="CN44" s="37">
        <f>SUM(CN45:CN47)</f>
        <v>0</v>
      </c>
      <c r="CO44" s="37">
        <f>SUM(CO45:CO47)</f>
        <v>0</v>
      </c>
      <c r="CP44" s="37">
        <f>IF(SUM(CP45:CP47)&lt;CP43,CP43,SUM(CP45:CP47))</f>
        <v>1</v>
      </c>
      <c r="CQ44" s="38">
        <f>CN44*1+CO44*2+CP44*4</f>
        <v>4</v>
      </c>
    </row>
    <row r="45" spans="1:95" ht="20.100000000000001" customHeight="1" x14ac:dyDescent="0.3">
      <c r="A45" s="93"/>
      <c r="B45" s="68"/>
      <c r="C45" s="69"/>
      <c r="D45" s="70"/>
      <c r="E45" s="68"/>
      <c r="F45" s="69"/>
      <c r="G45" s="70"/>
      <c r="H45" s="68"/>
      <c r="I45" s="69"/>
      <c r="J45" s="70"/>
      <c r="K45" s="68"/>
      <c r="L45" s="69"/>
      <c r="M45" s="70"/>
      <c r="N45" s="68"/>
      <c r="O45" s="69"/>
      <c r="P45" s="70"/>
      <c r="Q45" s="68"/>
      <c r="R45" s="69"/>
      <c r="S45" s="70"/>
      <c r="T45" s="68"/>
      <c r="U45" s="69"/>
      <c r="V45" s="70"/>
      <c r="W45" s="68"/>
      <c r="X45" s="69"/>
      <c r="Y45" s="70"/>
      <c r="Z45" s="68"/>
      <c r="AA45" s="69"/>
      <c r="AB45" s="72"/>
      <c r="AC45" s="69"/>
      <c r="AD45" s="69"/>
      <c r="AE45" s="70"/>
      <c r="AF45" s="68"/>
      <c r="AG45" s="69"/>
      <c r="AH45" s="70"/>
      <c r="AI45" s="68"/>
      <c r="AJ45" s="69"/>
      <c r="AK45" s="70"/>
      <c r="AL45" s="68"/>
      <c r="AM45" s="69"/>
      <c r="AN45" s="69"/>
      <c r="AO45" s="71"/>
      <c r="AP45" s="69"/>
      <c r="AQ45" s="70"/>
      <c r="AR45" s="69"/>
      <c r="AS45" s="69"/>
      <c r="AT45" s="70"/>
      <c r="AU45" s="68"/>
      <c r="AV45" s="69"/>
      <c r="AW45" s="72"/>
      <c r="AX45" s="69"/>
      <c r="AY45" s="69"/>
      <c r="AZ45" s="69"/>
      <c r="BA45" s="68"/>
      <c r="BB45" s="69"/>
      <c r="BC45" s="72"/>
      <c r="BD45" s="69"/>
      <c r="BE45" s="69"/>
      <c r="BF45" s="70"/>
      <c r="BG45" s="68"/>
      <c r="BH45" s="69"/>
      <c r="BI45" s="70"/>
      <c r="BJ45" s="68"/>
      <c r="BK45" s="69"/>
      <c r="BL45" s="70"/>
      <c r="BM45" s="68"/>
      <c r="BN45" s="69"/>
      <c r="BO45" s="70"/>
      <c r="BP45" s="68"/>
      <c r="BQ45" s="69"/>
      <c r="BR45" s="70"/>
      <c r="BS45" s="68"/>
      <c r="BT45" s="69"/>
      <c r="BU45" s="70"/>
      <c r="BV45" s="68"/>
      <c r="BW45" s="69"/>
      <c r="BX45" s="70"/>
      <c r="BY45" s="68"/>
      <c r="BZ45" s="69"/>
      <c r="CA45" s="70"/>
      <c r="CB45" s="95"/>
      <c r="CC45" s="35"/>
      <c r="CD45" s="35"/>
      <c r="CE45" s="35"/>
      <c r="CF45" s="37" t="s">
        <v>46</v>
      </c>
      <c r="CG45" s="37">
        <f>COUNTIF(Region5,CG42)</f>
        <v>0</v>
      </c>
      <c r="CH45" s="37">
        <f>COUNTIF(Region5,CH42)</f>
        <v>0</v>
      </c>
      <c r="CI45" s="37">
        <f>COUNTIF(Region5,CI42)</f>
        <v>0</v>
      </c>
      <c r="CJ45" s="38">
        <f>CG45*1+CH45*2+CI45*4</f>
        <v>0</v>
      </c>
      <c r="CK45" s="35"/>
      <c r="CL45" s="35"/>
      <c r="CM45" s="37" t="s">
        <v>46</v>
      </c>
      <c r="CN45" s="37">
        <f>COUNTIF(Region10,CN42)</f>
        <v>0</v>
      </c>
      <c r="CO45" s="37">
        <f>COUNTIF(Region10,CO42)</f>
        <v>0</v>
      </c>
      <c r="CP45" s="37">
        <f>COUNTIF(Region10,CP42)</f>
        <v>0</v>
      </c>
      <c r="CQ45" s="38">
        <f>CN45*1+CO45*2+CP45*4</f>
        <v>0</v>
      </c>
    </row>
    <row r="46" spans="1:95" ht="20.100000000000001" customHeight="1" thickBot="1" x14ac:dyDescent="0.35">
      <c r="A46" s="94"/>
      <c r="B46" s="73"/>
      <c r="C46" s="74"/>
      <c r="D46" s="75"/>
      <c r="E46" s="73"/>
      <c r="F46" s="74"/>
      <c r="G46" s="75"/>
      <c r="H46" s="73"/>
      <c r="I46" s="74"/>
      <c r="J46" s="75"/>
      <c r="K46" s="73"/>
      <c r="L46" s="74"/>
      <c r="M46" s="75"/>
      <c r="N46" s="73"/>
      <c r="O46" s="74"/>
      <c r="P46" s="75"/>
      <c r="Q46" s="73"/>
      <c r="R46" s="74"/>
      <c r="S46" s="75"/>
      <c r="T46" s="73"/>
      <c r="U46" s="74"/>
      <c r="V46" s="75"/>
      <c r="W46" s="73"/>
      <c r="X46" s="74"/>
      <c r="Y46" s="75"/>
      <c r="Z46" s="73"/>
      <c r="AA46" s="74"/>
      <c r="AB46" s="84"/>
      <c r="AC46" s="74"/>
      <c r="AD46" s="74"/>
      <c r="AE46" s="75"/>
      <c r="AF46" s="73"/>
      <c r="AG46" s="74"/>
      <c r="AH46" s="75"/>
      <c r="AI46" s="73"/>
      <c r="AJ46" s="74"/>
      <c r="AK46" s="75"/>
      <c r="AL46" s="68"/>
      <c r="AM46" s="69"/>
      <c r="AN46" s="69"/>
      <c r="AO46" s="85"/>
      <c r="AP46" s="74"/>
      <c r="AQ46" s="75"/>
      <c r="AR46" s="74"/>
      <c r="AS46" s="74"/>
      <c r="AT46" s="75"/>
      <c r="AU46" s="73"/>
      <c r="AV46" s="74"/>
      <c r="AW46" s="84"/>
      <c r="AX46" s="69"/>
      <c r="AY46" s="69"/>
      <c r="AZ46" s="69"/>
      <c r="BA46" s="73"/>
      <c r="BB46" s="74"/>
      <c r="BC46" s="84"/>
      <c r="BD46" s="74"/>
      <c r="BE46" s="74"/>
      <c r="BF46" s="75"/>
      <c r="BG46" s="73"/>
      <c r="BH46" s="74"/>
      <c r="BI46" s="75"/>
      <c r="BJ46" s="73"/>
      <c r="BK46" s="74"/>
      <c r="BL46" s="75"/>
      <c r="BM46" s="73"/>
      <c r="BN46" s="74"/>
      <c r="BO46" s="75"/>
      <c r="BP46" s="73"/>
      <c r="BQ46" s="74"/>
      <c r="BR46" s="75"/>
      <c r="BS46" s="73"/>
      <c r="BT46" s="74"/>
      <c r="BU46" s="75"/>
      <c r="BV46" s="73"/>
      <c r="BW46" s="74"/>
      <c r="BX46" s="75"/>
      <c r="BY46" s="73"/>
      <c r="BZ46" s="74"/>
      <c r="CA46" s="75"/>
      <c r="CB46" s="96"/>
      <c r="CC46" s="35"/>
      <c r="CD46" s="35"/>
      <c r="CE46" s="35"/>
      <c r="CF46" s="37" t="s">
        <v>48</v>
      </c>
      <c r="CG46" s="37">
        <f>SUM(COUNTIF(Region5,CONCATENATE(CG42," *",$CL46)),COUNTIF(Region5,CONCATENATE(CG42,"c *",$CL46)))-CG47</f>
        <v>0</v>
      </c>
      <c r="CH46" s="37">
        <f>SUM(COUNTIF(Region5,CONCATENATE(CH42," *",$CL46)),COUNTIF(Region5,CONCATENATE(CH42,"c *",$CL46)))-CH47</f>
        <v>0</v>
      </c>
      <c r="CI46" s="37">
        <f>SUM(COUNTIF(Region5,CONCATENATE(CI42," *",$CL46)),COUNTIF(Region5,CONCATENATE(CI42,"c *",$CL46)))-CI47</f>
        <v>0</v>
      </c>
      <c r="CJ46" s="38">
        <f>CG46*1+CH46*2+CI46*4</f>
        <v>0</v>
      </c>
      <c r="CK46" s="35"/>
      <c r="CL46" s="35"/>
      <c r="CM46" s="37" t="s">
        <v>48</v>
      </c>
      <c r="CN46" s="37">
        <f>SUM(COUNTIF(Region10,CONCATENATE(CN42," *",$CL46)),COUNTIF(Region10,CONCATENATE(CN42,"c *",$CL46)))-CN47</f>
        <v>0</v>
      </c>
      <c r="CO46" s="37">
        <f>SUM(COUNTIF(Region10,CONCATENATE(CO42," *",$CL46)),COUNTIF(Region10,CONCATENATE(CO42,"c *",$CL46)))-CO47</f>
        <v>0</v>
      </c>
      <c r="CP46" s="37">
        <f>SUM(COUNTIF(Region10,CONCATENATE(CP42," *",$CL46)),COUNTIF(Region10,CONCATENATE(CP42,"c *",$CL46)))-CP47</f>
        <v>0</v>
      </c>
      <c r="CQ46" s="38">
        <f>CN46*1+CO46*2+CP46*4</f>
        <v>0</v>
      </c>
    </row>
    <row r="47" spans="1:95" ht="20.100000000000001" customHeight="1" x14ac:dyDescent="0.3">
      <c r="A47" s="92"/>
      <c r="B47" s="63"/>
      <c r="C47" s="64"/>
      <c r="D47" s="65"/>
      <c r="E47" s="63"/>
      <c r="F47" s="64"/>
      <c r="G47" s="65"/>
      <c r="H47" s="63"/>
      <c r="I47" s="64"/>
      <c r="J47" s="65"/>
      <c r="K47" s="63"/>
      <c r="L47" s="64"/>
      <c r="M47" s="65"/>
      <c r="N47" s="63"/>
      <c r="O47" s="64"/>
      <c r="P47" s="65"/>
      <c r="Q47" s="63"/>
      <c r="R47" s="64"/>
      <c r="S47" s="65"/>
      <c r="T47" s="63"/>
      <c r="U47" s="64"/>
      <c r="V47" s="65"/>
      <c r="W47" s="63"/>
      <c r="X47" s="64"/>
      <c r="Y47" s="65"/>
      <c r="Z47" s="63"/>
      <c r="AA47" s="64"/>
      <c r="AB47" s="67"/>
      <c r="AC47" s="64"/>
      <c r="AD47" s="64"/>
      <c r="AE47" s="65"/>
      <c r="AF47" s="63"/>
      <c r="AG47" s="64"/>
      <c r="AH47" s="65"/>
      <c r="AI47" s="63"/>
      <c r="AJ47" s="64"/>
      <c r="AK47" s="64"/>
      <c r="AL47" s="86"/>
      <c r="AM47" s="82"/>
      <c r="AN47" s="87"/>
      <c r="AO47" s="68"/>
      <c r="AP47" s="69"/>
      <c r="AQ47" s="70"/>
      <c r="AR47" s="63"/>
      <c r="AS47" s="64"/>
      <c r="AT47" s="65"/>
      <c r="AU47" s="63"/>
      <c r="AV47" s="64"/>
      <c r="AW47" s="64"/>
      <c r="AX47" s="81"/>
      <c r="AY47" s="82"/>
      <c r="AZ47" s="83"/>
      <c r="BA47" s="69"/>
      <c r="BB47" s="69"/>
      <c r="BC47" s="72"/>
      <c r="BD47" s="64"/>
      <c r="BE47" s="64"/>
      <c r="BF47" s="65"/>
      <c r="BG47" s="63"/>
      <c r="BH47" s="64"/>
      <c r="BI47" s="65"/>
      <c r="BJ47" s="63"/>
      <c r="BK47" s="64"/>
      <c r="BL47" s="65"/>
      <c r="BM47" s="63"/>
      <c r="BN47" s="64"/>
      <c r="BO47" s="65"/>
      <c r="BP47" s="63"/>
      <c r="BQ47" s="64"/>
      <c r="BR47" s="65"/>
      <c r="BS47" s="63"/>
      <c r="BT47" s="64"/>
      <c r="BU47" s="65"/>
      <c r="BV47" s="63"/>
      <c r="BW47" s="64"/>
      <c r="BX47" s="65"/>
      <c r="BY47" s="63"/>
      <c r="BZ47" s="64"/>
      <c r="CA47" s="65"/>
      <c r="CB47" s="91"/>
      <c r="CC47" s="35"/>
      <c r="CD47" s="35"/>
      <c r="CE47" s="39" t="s">
        <v>22</v>
      </c>
      <c r="CF47" s="37" t="s">
        <v>44</v>
      </c>
      <c r="CG47" s="37">
        <f>SUM(COUNTIF(Region5,CONCATENATE(CG42," ",$CE47)),COUNTIF(Region5,CONCATENATE(CG42,"c ",$CE47)))</f>
        <v>0</v>
      </c>
      <c r="CH47" s="37">
        <f>SUM(COUNTIF(Region5,CONCATENATE(CH42," ",$CE47)),COUNTIF(Region5,CONCATENATE(CH42,"c ",$CE47)))</f>
        <v>0</v>
      </c>
      <c r="CI47" s="37">
        <f>SUM(COUNTIF(Region5,CONCATENATE(CI42," ",$CE47)),COUNTIF(Region5,CONCATENATE(CI42,"c ",$CE47)))</f>
        <v>0</v>
      </c>
      <c r="CJ47" s="38">
        <f>CG47*1+CH47*2+CI47*4</f>
        <v>0</v>
      </c>
      <c r="CK47" s="35"/>
      <c r="CL47" s="39" t="s">
        <v>23</v>
      </c>
      <c r="CM47" s="37" t="s">
        <v>44</v>
      </c>
      <c r="CN47" s="37">
        <f>SUM(COUNTIF(Region10,CONCATENATE(CN42," ",$CL47)),COUNTIF(Region10,CONCATENATE(CN42,"c ",$CL47)))</f>
        <v>0</v>
      </c>
      <c r="CO47" s="37">
        <f>SUM(COUNTIF(Region10,CONCATENATE(CO42," ",$CL47)),COUNTIF(Region10,CONCATENATE(CO42,"c ",$CL47)))</f>
        <v>0</v>
      </c>
      <c r="CP47" s="37">
        <f>SUM(COUNTIF(Region10,CONCATENATE(CP42," ",$CL47)),COUNTIF(Region10,CONCATENATE(CP42,"c ",$CL47)))</f>
        <v>0</v>
      </c>
      <c r="CQ47" s="38">
        <f>CN47*1+CO47*2+CP47*4</f>
        <v>0</v>
      </c>
    </row>
    <row r="48" spans="1:95" ht="20.100000000000001" customHeight="1" x14ac:dyDescent="0.3">
      <c r="A48" s="93"/>
      <c r="B48" s="68"/>
      <c r="C48" s="69"/>
      <c r="D48" s="70"/>
      <c r="E48" s="68"/>
      <c r="F48" s="69"/>
      <c r="G48" s="70"/>
      <c r="H48" s="68"/>
      <c r="I48" s="69"/>
      <c r="J48" s="70"/>
      <c r="K48" s="68"/>
      <c r="L48" s="69"/>
      <c r="M48" s="70"/>
      <c r="N48" s="68"/>
      <c r="O48" s="69"/>
      <c r="P48" s="70"/>
      <c r="Q48" s="68"/>
      <c r="R48" s="69"/>
      <c r="S48" s="70"/>
      <c r="T48" s="68"/>
      <c r="U48" s="69"/>
      <c r="V48" s="70"/>
      <c r="W48" s="68"/>
      <c r="X48" s="69"/>
      <c r="Y48" s="70"/>
      <c r="Z48" s="68"/>
      <c r="AA48" s="69"/>
      <c r="AB48" s="72"/>
      <c r="AC48" s="69"/>
      <c r="AD48" s="69"/>
      <c r="AE48" s="70"/>
      <c r="AF48" s="68"/>
      <c r="AG48" s="69"/>
      <c r="AH48" s="70"/>
      <c r="AI48" s="68"/>
      <c r="AJ48" s="69"/>
      <c r="AK48" s="69"/>
      <c r="AL48" s="71"/>
      <c r="AM48" s="69"/>
      <c r="AN48" s="70"/>
      <c r="AO48" s="68"/>
      <c r="AP48" s="69"/>
      <c r="AQ48" s="70"/>
      <c r="AR48" s="68"/>
      <c r="AS48" s="69"/>
      <c r="AT48" s="70"/>
      <c r="AU48" s="68"/>
      <c r="AV48" s="69"/>
      <c r="AW48" s="69"/>
      <c r="AX48" s="68"/>
      <c r="AY48" s="69"/>
      <c r="AZ48" s="72"/>
      <c r="BA48" s="69"/>
      <c r="BB48" s="69"/>
      <c r="BC48" s="72"/>
      <c r="BD48" s="69"/>
      <c r="BE48" s="69"/>
      <c r="BF48" s="70"/>
      <c r="BG48" s="68"/>
      <c r="BH48" s="69"/>
      <c r="BI48" s="70"/>
      <c r="BJ48" s="68"/>
      <c r="BK48" s="69"/>
      <c r="BL48" s="70"/>
      <c r="BM48" s="68"/>
      <c r="BN48" s="69"/>
      <c r="BO48" s="70"/>
      <c r="BP48" s="68"/>
      <c r="BQ48" s="69"/>
      <c r="BR48" s="70"/>
      <c r="BS48" s="68"/>
      <c r="BT48" s="69"/>
      <c r="BU48" s="70"/>
      <c r="BV48" s="68"/>
      <c r="BW48" s="69"/>
      <c r="BX48" s="70"/>
      <c r="BY48" s="68"/>
      <c r="BZ48" s="69"/>
      <c r="CA48" s="70"/>
      <c r="CB48" s="95"/>
      <c r="CC48" s="35"/>
      <c r="CD48" s="35"/>
      <c r="CE48" s="35"/>
      <c r="CF48" s="37" t="s">
        <v>31</v>
      </c>
      <c r="CG48" s="37">
        <f>SUM(COUNTIF(Region5,"# "),COUNTIF(Region5,"#"),COUNTIF(Region5,"P"),COUNTIF(Region5,"US"),COUNTIF(Region5,"US c"))</f>
        <v>0</v>
      </c>
      <c r="CH48" s="37" t="s">
        <v>45</v>
      </c>
      <c r="CI48" s="40">
        <f>SUM(CG44:CI44,CG48:CG49)/CF42</f>
        <v>2.9411764705882353E-2</v>
      </c>
      <c r="CJ48" s="35"/>
      <c r="CK48" s="35"/>
      <c r="CL48" s="35"/>
      <c r="CM48" s="37" t="s">
        <v>31</v>
      </c>
      <c r="CN48" s="37">
        <f>SUM(COUNTIF(Region10,"# "),COUNTIF(Region10,"#"),COUNTIF(Region10,"P"),COUNTIF(Region10,"US"),COUNTIF(Region10,"US c"))</f>
        <v>0</v>
      </c>
      <c r="CO48" s="37" t="s">
        <v>45</v>
      </c>
      <c r="CP48" s="40">
        <f>SUM(CN44:CP44,CN48:CN49)/CM42</f>
        <v>1.4925373134328358E-2</v>
      </c>
      <c r="CQ48" s="35"/>
    </row>
    <row r="49" spans="1:95" ht="20.100000000000001" customHeight="1" thickBot="1" x14ac:dyDescent="0.35">
      <c r="A49" s="94"/>
      <c r="B49" s="73"/>
      <c r="C49" s="74"/>
      <c r="D49" s="75"/>
      <c r="E49" s="73"/>
      <c r="F49" s="74"/>
      <c r="G49" s="75"/>
      <c r="H49" s="73"/>
      <c r="I49" s="74"/>
      <c r="J49" s="75"/>
      <c r="K49" s="73"/>
      <c r="L49" s="74"/>
      <c r="M49" s="75"/>
      <c r="N49" s="73"/>
      <c r="O49" s="74"/>
      <c r="P49" s="75"/>
      <c r="Q49" s="73"/>
      <c r="R49" s="74"/>
      <c r="S49" s="75"/>
      <c r="T49" s="68"/>
      <c r="U49" s="69"/>
      <c r="V49" s="70"/>
      <c r="W49" s="68"/>
      <c r="X49" s="69"/>
      <c r="Y49" s="70"/>
      <c r="Z49" s="79"/>
      <c r="AA49" s="77"/>
      <c r="AB49" s="80"/>
      <c r="AC49" s="69"/>
      <c r="AD49" s="69"/>
      <c r="AE49" s="70"/>
      <c r="AF49" s="68"/>
      <c r="AG49" s="69"/>
      <c r="AH49" s="70"/>
      <c r="AI49" s="68"/>
      <c r="AJ49" s="69"/>
      <c r="AK49" s="69"/>
      <c r="AL49" s="85"/>
      <c r="AM49" s="74"/>
      <c r="AN49" s="75"/>
      <c r="AO49" s="73"/>
      <c r="AP49" s="74"/>
      <c r="AQ49" s="75"/>
      <c r="AR49" s="73"/>
      <c r="AS49" s="74"/>
      <c r="AT49" s="75"/>
      <c r="AU49" s="73"/>
      <c r="AV49" s="74"/>
      <c r="AW49" s="74"/>
      <c r="AX49" s="73"/>
      <c r="AY49" s="74"/>
      <c r="AZ49" s="84"/>
      <c r="BA49" s="69"/>
      <c r="BB49" s="69"/>
      <c r="BC49" s="72"/>
      <c r="BD49" s="74"/>
      <c r="BE49" s="74"/>
      <c r="BF49" s="75"/>
      <c r="BG49" s="73"/>
      <c r="BH49" s="74"/>
      <c r="BI49" s="75"/>
      <c r="BJ49" s="73"/>
      <c r="BK49" s="74"/>
      <c r="BL49" s="75"/>
      <c r="BM49" s="73"/>
      <c r="BN49" s="74"/>
      <c r="BO49" s="75"/>
      <c r="BP49" s="73"/>
      <c r="BQ49" s="74"/>
      <c r="BR49" s="75"/>
      <c r="BS49" s="73"/>
      <c r="BT49" s="74"/>
      <c r="BU49" s="75"/>
      <c r="BV49" s="73"/>
      <c r="BW49" s="74"/>
      <c r="BX49" s="75"/>
      <c r="BY49" s="73"/>
      <c r="BZ49" s="74"/>
      <c r="CA49" s="75"/>
      <c r="CB49" s="96"/>
      <c r="CC49" s="35"/>
      <c r="CD49" s="35"/>
      <c r="CE49" s="35"/>
      <c r="CF49" s="37" t="s">
        <v>28</v>
      </c>
      <c r="CG49" s="37"/>
      <c r="CH49" s="37" t="s">
        <v>30</v>
      </c>
      <c r="CI49" s="37">
        <f>CF42-SUM(CG44:CI44)-SUM(CG48:CG49)</f>
        <v>66</v>
      </c>
      <c r="CJ49" s="35"/>
      <c r="CK49" s="35"/>
      <c r="CL49" s="35"/>
      <c r="CM49" s="37" t="s">
        <v>28</v>
      </c>
      <c r="CN49" s="37"/>
      <c r="CO49" s="37" t="s">
        <v>30</v>
      </c>
      <c r="CP49" s="37">
        <f>CM42-SUM(CN44:CP44)-SUM(CN48:CN49)</f>
        <v>66</v>
      </c>
      <c r="CQ49" s="35"/>
    </row>
    <row r="50" spans="1:95" ht="20.100000000000001" customHeight="1" x14ac:dyDescent="0.3">
      <c r="A50" s="92"/>
      <c r="B50" s="63"/>
      <c r="C50" s="64"/>
      <c r="D50" s="65"/>
      <c r="E50" s="63"/>
      <c r="F50" s="64"/>
      <c r="G50" s="65"/>
      <c r="H50" s="63"/>
      <c r="I50" s="64"/>
      <c r="J50" s="65"/>
      <c r="K50" s="63"/>
      <c r="L50" s="64"/>
      <c r="M50" s="65"/>
      <c r="N50" s="63"/>
      <c r="O50" s="64"/>
      <c r="P50" s="65"/>
      <c r="Q50" s="63"/>
      <c r="R50" s="64"/>
      <c r="S50" s="64"/>
      <c r="T50" s="86"/>
      <c r="U50" s="82"/>
      <c r="V50" s="87"/>
      <c r="W50" s="81"/>
      <c r="X50" s="82"/>
      <c r="Y50" s="87"/>
      <c r="Z50" s="81"/>
      <c r="AA50" s="82"/>
      <c r="AB50" s="87"/>
      <c r="AC50" s="81"/>
      <c r="AD50" s="82"/>
      <c r="AE50" s="87"/>
      <c r="AF50" s="81"/>
      <c r="AG50" s="82"/>
      <c r="AH50" s="87"/>
      <c r="AI50" s="81"/>
      <c r="AJ50" s="82"/>
      <c r="AK50" s="87"/>
      <c r="AL50" s="63"/>
      <c r="AM50" s="64"/>
      <c r="AN50" s="65"/>
      <c r="AO50" s="63"/>
      <c r="AP50" s="64"/>
      <c r="AQ50" s="65"/>
      <c r="AR50" s="63"/>
      <c r="AS50" s="64"/>
      <c r="AT50" s="65"/>
      <c r="AU50" s="63"/>
      <c r="AV50" s="64"/>
      <c r="AW50" s="64"/>
      <c r="AX50" s="63"/>
      <c r="AY50" s="64"/>
      <c r="AZ50" s="67"/>
      <c r="BA50" s="66"/>
      <c r="BB50" s="64"/>
      <c r="BC50" s="67"/>
      <c r="BD50" s="64"/>
      <c r="BE50" s="64"/>
      <c r="BF50" s="65"/>
      <c r="BG50" s="63"/>
      <c r="BH50" s="64"/>
      <c r="BI50" s="65"/>
      <c r="BJ50" s="63"/>
      <c r="BK50" s="64"/>
      <c r="BL50" s="65"/>
      <c r="BM50" s="63"/>
      <c r="BN50" s="64"/>
      <c r="BO50" s="65"/>
      <c r="BP50" s="63"/>
      <c r="BQ50" s="64"/>
      <c r="BR50" s="65"/>
      <c r="BS50" s="63"/>
      <c r="BT50" s="64"/>
      <c r="BU50" s="65"/>
      <c r="BV50" s="63"/>
      <c r="BW50" s="64"/>
      <c r="BX50" s="65"/>
      <c r="BY50" s="63"/>
      <c r="BZ50" s="64"/>
      <c r="CA50" s="65"/>
      <c r="CB50" s="91"/>
      <c r="CC50" s="35"/>
      <c r="CD50" s="35"/>
      <c r="CE50" s="35"/>
      <c r="CF50" s="37" t="s">
        <v>29</v>
      </c>
      <c r="CG50" s="41">
        <f>IFERROR((SUM($CG43:$CH43)-SUM($CG44:$CH44))*(CG43-CG44)/(SUM($CG43:$CH43)-SUM($CG44:$CH44))*$CG49/($CF42-SUM($CG44:$CI44)-$CG48),0)</f>
        <v>0</v>
      </c>
      <c r="CH50" s="41">
        <f>IFERROR((SUM($CG43:$CH43)-SUM($CG44:$CH44))*(CH43-CH44)/(SUM($CG43:$CH43)-SUM($CG44:$CH44))*$CG49/($CF42-SUM($CG44:$CI44)-$CG48),0)</f>
        <v>0</v>
      </c>
      <c r="CI50" s="38">
        <f>ROUNDDOWN(CG50,0)+ROUNDDOWN(CH50,0)*2</f>
        <v>0</v>
      </c>
      <c r="CJ50" s="35"/>
      <c r="CK50" s="35"/>
      <c r="CL50" s="35"/>
      <c r="CM50" s="37" t="s">
        <v>29</v>
      </c>
      <c r="CN50" s="41">
        <f>IFERROR((SUM($CN43:$CO43)-SUM($CN44:$CO44))*(CN43-CN44)/(SUM($CN43:$CO43)-SUM($CN44:$CO44))*$CN49/($CM42-SUM($CN44:$CP44)-$CN48),0)</f>
        <v>0</v>
      </c>
      <c r="CO50" s="41">
        <f>IFERROR((SUM($CN43:$CO43)-SUM($CN44:$CO44))*(CO43-CO44)/(SUM($CN43:$CO43)-SUM($CN44:$CO44))*$CN49/($CM42-SUM($CN44:$CP44)-$CN48),0)</f>
        <v>0</v>
      </c>
      <c r="CP50" s="38">
        <f>ROUNDDOWN(CN50,0)+ROUNDDOWN(CO50,0)*2</f>
        <v>0</v>
      </c>
      <c r="CQ50" s="35"/>
    </row>
    <row r="51" spans="1:95" ht="20.100000000000001" customHeight="1" x14ac:dyDescent="0.25">
      <c r="A51" s="93"/>
      <c r="B51" s="68"/>
      <c r="C51" s="69"/>
      <c r="D51" s="70"/>
      <c r="E51" s="68"/>
      <c r="F51" s="69"/>
      <c r="G51" s="70"/>
      <c r="H51" s="68"/>
      <c r="I51" s="69"/>
      <c r="J51" s="70"/>
      <c r="K51" s="68"/>
      <c r="L51" s="69"/>
      <c r="M51" s="70"/>
      <c r="N51" s="68"/>
      <c r="O51" s="69"/>
      <c r="P51" s="70"/>
      <c r="Q51" s="68"/>
      <c r="R51" s="69"/>
      <c r="S51" s="69"/>
      <c r="T51" s="71"/>
      <c r="U51" s="69"/>
      <c r="V51" s="70"/>
      <c r="W51" s="68"/>
      <c r="X51" s="69"/>
      <c r="Y51" s="70"/>
      <c r="Z51" s="68"/>
      <c r="AA51" s="69"/>
      <c r="AB51" s="70"/>
      <c r="AC51" s="68"/>
      <c r="AD51" s="69"/>
      <c r="AE51" s="70"/>
      <c r="AF51" s="68"/>
      <c r="AG51" s="69"/>
      <c r="AH51" s="70"/>
      <c r="AI51" s="68"/>
      <c r="AJ51" s="69"/>
      <c r="AK51" s="70"/>
      <c r="AL51" s="68"/>
      <c r="AM51" s="69"/>
      <c r="AN51" s="70"/>
      <c r="AO51" s="68"/>
      <c r="AP51" s="69"/>
      <c r="AQ51" s="70"/>
      <c r="AR51" s="68"/>
      <c r="AS51" s="69"/>
      <c r="AT51" s="70"/>
      <c r="AU51" s="68"/>
      <c r="AV51" s="69"/>
      <c r="AW51" s="69"/>
      <c r="AX51" s="68"/>
      <c r="AY51" s="69"/>
      <c r="AZ51" s="72"/>
      <c r="BA51" s="71"/>
      <c r="BB51" s="69"/>
      <c r="BC51" s="72"/>
      <c r="BD51" s="69"/>
      <c r="BE51" s="69"/>
      <c r="BF51" s="70"/>
      <c r="BG51" s="68"/>
      <c r="BH51" s="69"/>
      <c r="BI51" s="70"/>
      <c r="BJ51" s="68"/>
      <c r="BK51" s="69"/>
      <c r="BL51" s="70"/>
      <c r="BM51" s="68"/>
      <c r="BN51" s="69"/>
      <c r="BO51" s="70"/>
      <c r="BP51" s="68"/>
      <c r="BQ51" s="69"/>
      <c r="BR51" s="70"/>
      <c r="BS51" s="68"/>
      <c r="BT51" s="69"/>
      <c r="BU51" s="70"/>
      <c r="BV51" s="68"/>
      <c r="BW51" s="69"/>
      <c r="BX51" s="70"/>
      <c r="BY51" s="68"/>
      <c r="BZ51" s="69"/>
      <c r="CA51" s="70"/>
      <c r="CB51" s="95"/>
      <c r="CC51" s="35"/>
      <c r="CD51" s="35"/>
      <c r="CE51" s="35"/>
      <c r="CF51" s="35"/>
      <c r="CG51" s="35"/>
      <c r="CH51" s="35"/>
      <c r="CI51" s="35"/>
      <c r="CJ51" s="35"/>
      <c r="CK51" s="35"/>
      <c r="CL51" s="35"/>
      <c r="CM51" s="35"/>
      <c r="CN51" s="35"/>
      <c r="CO51" s="35"/>
      <c r="CP51" s="35"/>
      <c r="CQ51" s="35"/>
    </row>
    <row r="52" spans="1:95" ht="20.100000000000001" customHeight="1" x14ac:dyDescent="0.25">
      <c r="A52" s="94"/>
      <c r="B52" s="73"/>
      <c r="C52" s="74"/>
      <c r="D52" s="75"/>
      <c r="E52" s="73"/>
      <c r="F52" s="74"/>
      <c r="G52" s="75"/>
      <c r="H52" s="73"/>
      <c r="I52" s="74"/>
      <c r="J52" s="75"/>
      <c r="K52" s="73"/>
      <c r="L52" s="74"/>
      <c r="M52" s="75"/>
      <c r="N52" s="73"/>
      <c r="O52" s="74"/>
      <c r="P52" s="75"/>
      <c r="Q52" s="73"/>
      <c r="R52" s="74"/>
      <c r="S52" s="74"/>
      <c r="T52" s="71"/>
      <c r="U52" s="69"/>
      <c r="V52" s="70"/>
      <c r="W52" s="73"/>
      <c r="X52" s="74"/>
      <c r="Y52" s="75"/>
      <c r="Z52" s="73"/>
      <c r="AA52" s="74"/>
      <c r="AB52" s="75"/>
      <c r="AC52" s="73"/>
      <c r="AD52" s="74"/>
      <c r="AE52" s="75"/>
      <c r="AF52" s="73"/>
      <c r="AG52" s="74"/>
      <c r="AH52" s="75"/>
      <c r="AI52" s="73"/>
      <c r="AJ52" s="74"/>
      <c r="AK52" s="75"/>
      <c r="AL52" s="73"/>
      <c r="AM52" s="74"/>
      <c r="AN52" s="75"/>
      <c r="AO52" s="73"/>
      <c r="AP52" s="74"/>
      <c r="AQ52" s="75"/>
      <c r="AR52" s="73"/>
      <c r="AS52" s="74"/>
      <c r="AT52" s="75"/>
      <c r="AU52" s="73"/>
      <c r="AV52" s="74"/>
      <c r="AW52" s="74"/>
      <c r="AX52" s="73"/>
      <c r="AY52" s="74"/>
      <c r="AZ52" s="84"/>
      <c r="BA52" s="85"/>
      <c r="BB52" s="74"/>
      <c r="BC52" s="84"/>
      <c r="BD52" s="74"/>
      <c r="BE52" s="74"/>
      <c r="BF52" s="75"/>
      <c r="BG52" s="73"/>
      <c r="BH52" s="74"/>
      <c r="BI52" s="75"/>
      <c r="BJ52" s="73"/>
      <c r="BK52" s="74"/>
      <c r="BL52" s="75"/>
      <c r="BM52" s="73"/>
      <c r="BN52" s="74"/>
      <c r="BO52" s="75"/>
      <c r="BP52" s="73"/>
      <c r="BQ52" s="74"/>
      <c r="BR52" s="75"/>
      <c r="BS52" s="73"/>
      <c r="BT52" s="74"/>
      <c r="BU52" s="75"/>
      <c r="BV52" s="73"/>
      <c r="BW52" s="74"/>
      <c r="BX52" s="75"/>
      <c r="BY52" s="73"/>
      <c r="BZ52" s="74"/>
      <c r="CA52" s="75"/>
      <c r="CB52" s="96"/>
      <c r="CC52" s="35"/>
      <c r="CD52" s="35"/>
      <c r="CE52" s="35"/>
      <c r="CF52" s="35"/>
      <c r="CG52" s="35"/>
      <c r="CH52" s="35"/>
      <c r="CI52" s="35"/>
      <c r="CJ52" s="35"/>
      <c r="CK52" s="35"/>
      <c r="CL52" s="35"/>
      <c r="CM52" s="35"/>
      <c r="CN52" s="35"/>
      <c r="CO52" s="35"/>
      <c r="CP52" s="35"/>
      <c r="CQ52" s="35"/>
    </row>
    <row r="53" spans="1:95" ht="20.100000000000001" customHeight="1" x14ac:dyDescent="0.3">
      <c r="A53" s="92"/>
      <c r="B53" s="63"/>
      <c r="C53" s="64"/>
      <c r="D53" s="65"/>
      <c r="E53" s="63"/>
      <c r="F53" s="64"/>
      <c r="G53" s="65"/>
      <c r="H53" s="63"/>
      <c r="I53" s="64"/>
      <c r="J53" s="65"/>
      <c r="K53" s="63"/>
      <c r="L53" s="64"/>
      <c r="M53" s="65"/>
      <c r="N53" s="63"/>
      <c r="O53" s="64"/>
      <c r="P53" s="65"/>
      <c r="Q53" s="63"/>
      <c r="R53" s="64"/>
      <c r="S53" s="64"/>
      <c r="T53" s="66"/>
      <c r="U53" s="64"/>
      <c r="V53" s="65"/>
      <c r="W53" s="64"/>
      <c r="X53" s="64"/>
      <c r="Y53" s="65"/>
      <c r="Z53" s="63"/>
      <c r="AA53" s="64"/>
      <c r="AB53" s="65"/>
      <c r="AC53" s="63"/>
      <c r="AD53" s="64"/>
      <c r="AE53" s="65"/>
      <c r="AF53" s="63"/>
      <c r="AG53" s="64"/>
      <c r="AH53" s="65"/>
      <c r="AI53" s="63"/>
      <c r="AJ53" s="64"/>
      <c r="AK53" s="65"/>
      <c r="AL53" s="63"/>
      <c r="AM53" s="64"/>
      <c r="AN53" s="65"/>
      <c r="AO53" s="63"/>
      <c r="AP53" s="64"/>
      <c r="AQ53" s="65"/>
      <c r="AR53" s="63"/>
      <c r="AS53" s="64"/>
      <c r="AT53" s="65"/>
      <c r="AU53" s="63"/>
      <c r="AV53" s="64"/>
      <c r="AW53" s="65"/>
      <c r="AX53" s="68"/>
      <c r="AY53" s="69"/>
      <c r="AZ53" s="72"/>
      <c r="BA53" s="66"/>
      <c r="BB53" s="64"/>
      <c r="BC53" s="67"/>
      <c r="BD53" s="64"/>
      <c r="BE53" s="64"/>
      <c r="BF53" s="65"/>
      <c r="BG53" s="63"/>
      <c r="BH53" s="64"/>
      <c r="BI53" s="65"/>
      <c r="BJ53" s="63"/>
      <c r="BK53" s="64"/>
      <c r="BL53" s="65"/>
      <c r="BM53" s="63"/>
      <c r="BN53" s="64"/>
      <c r="BO53" s="65"/>
      <c r="BP53" s="63"/>
      <c r="BQ53" s="64"/>
      <c r="BR53" s="65"/>
      <c r="BS53" s="63"/>
      <c r="BT53" s="64"/>
      <c r="BU53" s="65"/>
      <c r="BV53" s="63"/>
      <c r="BW53" s="64"/>
      <c r="BX53" s="65"/>
      <c r="BY53" s="63"/>
      <c r="BZ53" s="64"/>
      <c r="CA53" s="65"/>
      <c r="CB53" s="91"/>
      <c r="CC53" s="35"/>
      <c r="CD53" s="35"/>
      <c r="CE53" s="35"/>
      <c r="CF53" s="99" t="s">
        <v>53</v>
      </c>
      <c r="CG53" s="100">
        <f>MAX('Inf Data'!C:C)</f>
        <v>0</v>
      </c>
      <c r="CH53" s="35"/>
      <c r="CI53" s="35"/>
      <c r="CJ53" s="35"/>
      <c r="CK53" s="35"/>
      <c r="CL53" s="35"/>
      <c r="CM53" s="42" t="s">
        <v>68</v>
      </c>
      <c r="CN53" s="35"/>
      <c r="CO53" s="35"/>
      <c r="CP53" s="35"/>
      <c r="CQ53" s="35"/>
    </row>
    <row r="54" spans="1:95" ht="20.100000000000001" customHeight="1" x14ac:dyDescent="0.25">
      <c r="A54" s="93"/>
      <c r="B54" s="68"/>
      <c r="C54" s="69"/>
      <c r="D54" s="70"/>
      <c r="E54" s="68"/>
      <c r="F54" s="69"/>
      <c r="G54" s="70"/>
      <c r="H54" s="68"/>
      <c r="I54" s="69"/>
      <c r="J54" s="70"/>
      <c r="K54" s="68"/>
      <c r="L54" s="69"/>
      <c r="M54" s="70"/>
      <c r="N54" s="68"/>
      <c r="O54" s="69"/>
      <c r="P54" s="70"/>
      <c r="Q54" s="68"/>
      <c r="R54" s="69"/>
      <c r="S54" s="69"/>
      <c r="T54" s="71"/>
      <c r="U54" s="69"/>
      <c r="V54" s="70"/>
      <c r="W54" s="69"/>
      <c r="X54" s="69"/>
      <c r="Y54" s="70"/>
      <c r="Z54" s="68"/>
      <c r="AA54" s="69"/>
      <c r="AB54" s="70"/>
      <c r="AC54" s="68"/>
      <c r="AD54" s="69"/>
      <c r="AE54" s="70"/>
      <c r="AF54" s="68"/>
      <c r="AG54" s="69"/>
      <c r="AH54" s="70"/>
      <c r="AI54" s="68"/>
      <c r="AJ54" s="69"/>
      <c r="AK54" s="70"/>
      <c r="AL54" s="68"/>
      <c r="AM54" s="69"/>
      <c r="AN54" s="70"/>
      <c r="AO54" s="68"/>
      <c r="AP54" s="69"/>
      <c r="AQ54" s="70"/>
      <c r="AR54" s="68"/>
      <c r="AS54" s="69"/>
      <c r="AT54" s="70"/>
      <c r="AU54" s="68"/>
      <c r="AV54" s="69"/>
      <c r="AW54" s="70"/>
      <c r="AX54" s="68"/>
      <c r="AY54" s="69"/>
      <c r="AZ54" s="72"/>
      <c r="BA54" s="71"/>
      <c r="BB54" s="69"/>
      <c r="BC54" s="72"/>
      <c r="BD54" s="69"/>
      <c r="BE54" s="69"/>
      <c r="BF54" s="70"/>
      <c r="BG54" s="68"/>
      <c r="BH54" s="69"/>
      <c r="BI54" s="70"/>
      <c r="BJ54" s="68"/>
      <c r="BK54" s="69"/>
      <c r="BL54" s="70"/>
      <c r="BM54" s="68"/>
      <c r="BN54" s="69"/>
      <c r="BO54" s="70"/>
      <c r="BP54" s="68"/>
      <c r="BQ54" s="69"/>
      <c r="BR54" s="70"/>
      <c r="BS54" s="68"/>
      <c r="BT54" s="69"/>
      <c r="BU54" s="70"/>
      <c r="BV54" s="68"/>
      <c r="BW54" s="69"/>
      <c r="BX54" s="70"/>
      <c r="BY54" s="68"/>
      <c r="BZ54" s="69"/>
      <c r="CA54" s="70"/>
      <c r="CB54" s="95"/>
      <c r="CC54" s="35"/>
      <c r="CD54" s="35"/>
      <c r="CE54" s="35"/>
      <c r="CF54" s="99"/>
      <c r="CG54" s="100"/>
      <c r="CH54" s="35"/>
      <c r="CI54" s="35"/>
      <c r="CJ54" s="35"/>
      <c r="CK54" s="35"/>
      <c r="CL54" s="35"/>
      <c r="CM54" s="101" t="s">
        <v>69</v>
      </c>
      <c r="CN54" s="101"/>
      <c r="CO54" s="101"/>
      <c r="CP54" s="101"/>
      <c r="CQ54" s="101"/>
    </row>
    <row r="55" spans="1:95" ht="20.100000000000001" customHeight="1" thickBot="1" x14ac:dyDescent="0.3">
      <c r="A55" s="94"/>
      <c r="B55" s="73"/>
      <c r="C55" s="74"/>
      <c r="D55" s="75"/>
      <c r="E55" s="73"/>
      <c r="F55" s="74"/>
      <c r="G55" s="75"/>
      <c r="H55" s="73"/>
      <c r="I55" s="74"/>
      <c r="J55" s="75"/>
      <c r="K55" s="73"/>
      <c r="L55" s="74"/>
      <c r="M55" s="75"/>
      <c r="N55" s="73"/>
      <c r="O55" s="74"/>
      <c r="P55" s="75"/>
      <c r="Q55" s="68"/>
      <c r="R55" s="69"/>
      <c r="S55" s="69"/>
      <c r="T55" s="76"/>
      <c r="U55" s="77"/>
      <c r="V55" s="78"/>
      <c r="W55" s="74"/>
      <c r="X55" s="74"/>
      <c r="Y55" s="75"/>
      <c r="Z55" s="73"/>
      <c r="AA55" s="74"/>
      <c r="AB55" s="75"/>
      <c r="AC55" s="73"/>
      <c r="AD55" s="74"/>
      <c r="AE55" s="75"/>
      <c r="AF55" s="73"/>
      <c r="AG55" s="74"/>
      <c r="AH55" s="75"/>
      <c r="AI55" s="73"/>
      <c r="AJ55" s="74"/>
      <c r="AK55" s="75"/>
      <c r="AL55" s="73"/>
      <c r="AM55" s="74"/>
      <c r="AN55" s="75"/>
      <c r="AO55" s="73"/>
      <c r="AP55" s="74"/>
      <c r="AQ55" s="75"/>
      <c r="AR55" s="73"/>
      <c r="AS55" s="74"/>
      <c r="AT55" s="75"/>
      <c r="AU55" s="73"/>
      <c r="AV55" s="74"/>
      <c r="AW55" s="75"/>
      <c r="AX55" s="73"/>
      <c r="AY55" s="74"/>
      <c r="AZ55" s="84"/>
      <c r="BA55" s="76"/>
      <c r="BB55" s="77"/>
      <c r="BC55" s="80"/>
      <c r="BD55" s="74"/>
      <c r="BE55" s="74"/>
      <c r="BF55" s="75"/>
      <c r="BG55" s="73"/>
      <c r="BH55" s="74"/>
      <c r="BI55" s="75"/>
      <c r="BJ55" s="73"/>
      <c r="BK55" s="74"/>
      <c r="BL55" s="75"/>
      <c r="BM55" s="73"/>
      <c r="BN55" s="74"/>
      <c r="BO55" s="75"/>
      <c r="BP55" s="73"/>
      <c r="BQ55" s="74"/>
      <c r="BR55" s="75"/>
      <c r="BS55" s="73"/>
      <c r="BT55" s="74"/>
      <c r="BU55" s="75"/>
      <c r="BV55" s="73"/>
      <c r="BW55" s="74"/>
      <c r="BX55" s="75"/>
      <c r="BY55" s="73"/>
      <c r="BZ55" s="74"/>
      <c r="CA55" s="75"/>
      <c r="CB55" s="96"/>
      <c r="CC55" s="35"/>
      <c r="CD55" s="35"/>
      <c r="CE55" s="35"/>
      <c r="CF55" s="99" t="s">
        <v>13</v>
      </c>
      <c r="CG55" s="100">
        <f>MAX('Inf Data'!A:A)</f>
        <v>0</v>
      </c>
      <c r="CH55" s="35"/>
      <c r="CI55" s="35"/>
      <c r="CJ55" s="35"/>
      <c r="CK55" s="35"/>
      <c r="CL55" s="35"/>
      <c r="CM55" s="101"/>
      <c r="CN55" s="101"/>
      <c r="CO55" s="101"/>
      <c r="CP55" s="101"/>
      <c r="CQ55" s="101"/>
    </row>
    <row r="56" spans="1:95" ht="20.100000000000001" customHeight="1" x14ac:dyDescent="0.3">
      <c r="A56" s="92"/>
      <c r="B56" s="63"/>
      <c r="C56" s="64"/>
      <c r="D56" s="65"/>
      <c r="E56" s="63"/>
      <c r="F56" s="64"/>
      <c r="G56" s="65"/>
      <c r="H56" s="63"/>
      <c r="I56" s="64"/>
      <c r="J56" s="65"/>
      <c r="K56" s="63"/>
      <c r="L56" s="64"/>
      <c r="M56" s="65"/>
      <c r="N56" s="63"/>
      <c r="O56" s="64"/>
      <c r="P56" s="67"/>
      <c r="Q56" s="86"/>
      <c r="R56" s="82"/>
      <c r="S56" s="87"/>
      <c r="T56" s="81"/>
      <c r="U56" s="82"/>
      <c r="V56" s="83"/>
      <c r="W56" s="64"/>
      <c r="X56" s="64"/>
      <c r="Y56" s="65"/>
      <c r="Z56" s="63"/>
      <c r="AA56" s="64"/>
      <c r="AB56" s="65"/>
      <c r="AC56" s="63"/>
      <c r="AD56" s="64"/>
      <c r="AE56" s="65"/>
      <c r="AF56" s="63"/>
      <c r="AG56" s="64"/>
      <c r="AH56" s="65"/>
      <c r="AI56" s="63"/>
      <c r="AJ56" s="64"/>
      <c r="AK56" s="65"/>
      <c r="AL56" s="63"/>
      <c r="AM56" s="64"/>
      <c r="AN56" s="65"/>
      <c r="AO56" s="63"/>
      <c r="AP56" s="64"/>
      <c r="AQ56" s="65"/>
      <c r="AR56" s="63"/>
      <c r="AS56" s="64"/>
      <c r="AT56" s="65"/>
      <c r="AU56" s="63"/>
      <c r="AV56" s="64"/>
      <c r="AW56" s="65"/>
      <c r="AX56" s="63"/>
      <c r="AY56" s="64"/>
      <c r="AZ56" s="67"/>
      <c r="BA56" s="71"/>
      <c r="BB56" s="69"/>
      <c r="BC56" s="70"/>
      <c r="BD56" s="63"/>
      <c r="BE56" s="64"/>
      <c r="BF56" s="65"/>
      <c r="BG56" s="63"/>
      <c r="BH56" s="64"/>
      <c r="BI56" s="65"/>
      <c r="BJ56" s="63"/>
      <c r="BK56" s="64"/>
      <c r="BL56" s="65"/>
      <c r="BM56" s="63"/>
      <c r="BN56" s="64"/>
      <c r="BO56" s="65"/>
      <c r="BP56" s="63"/>
      <c r="BQ56" s="64"/>
      <c r="BR56" s="65"/>
      <c r="BS56" s="63"/>
      <c r="BT56" s="64"/>
      <c r="BU56" s="65"/>
      <c r="BV56" s="63"/>
      <c r="BW56" s="64"/>
      <c r="BX56" s="65"/>
      <c r="BY56" s="63"/>
      <c r="BZ56" s="64"/>
      <c r="CA56" s="65"/>
      <c r="CB56" s="91"/>
      <c r="CC56" s="102" t="s">
        <v>43</v>
      </c>
      <c r="CD56" s="103"/>
      <c r="CE56" s="103"/>
      <c r="CF56" s="99"/>
      <c r="CG56" s="100"/>
      <c r="CH56" s="35"/>
      <c r="CI56" s="35"/>
      <c r="CJ56" s="35"/>
      <c r="CK56" s="35"/>
      <c r="CL56" s="35"/>
      <c r="CM56" s="101"/>
      <c r="CN56" s="101"/>
      <c r="CO56" s="101"/>
      <c r="CP56" s="101"/>
      <c r="CQ56" s="101"/>
    </row>
    <row r="57" spans="1:95" ht="20.100000000000001" customHeight="1" x14ac:dyDescent="0.25">
      <c r="A57" s="93"/>
      <c r="B57" s="68"/>
      <c r="C57" s="69"/>
      <c r="D57" s="70"/>
      <c r="E57" s="68"/>
      <c r="F57" s="69"/>
      <c r="G57" s="70"/>
      <c r="H57" s="68"/>
      <c r="I57" s="69"/>
      <c r="J57" s="70"/>
      <c r="K57" s="68"/>
      <c r="L57" s="69"/>
      <c r="M57" s="70"/>
      <c r="N57" s="68"/>
      <c r="O57" s="69"/>
      <c r="P57" s="72"/>
      <c r="Q57" s="71"/>
      <c r="R57" s="69"/>
      <c r="S57" s="70"/>
      <c r="T57" s="68"/>
      <c r="U57" s="69"/>
      <c r="V57" s="72"/>
      <c r="W57" s="69"/>
      <c r="X57" s="69"/>
      <c r="Y57" s="70"/>
      <c r="Z57" s="68"/>
      <c r="AA57" s="69"/>
      <c r="AB57" s="70"/>
      <c r="AC57" s="68"/>
      <c r="AD57" s="69"/>
      <c r="AE57" s="70"/>
      <c r="AF57" s="68"/>
      <c r="AG57" s="69"/>
      <c r="AH57" s="70"/>
      <c r="AI57" s="68"/>
      <c r="AJ57" s="69"/>
      <c r="AK57" s="70"/>
      <c r="AL57" s="68"/>
      <c r="AM57" s="69"/>
      <c r="AN57" s="70"/>
      <c r="AO57" s="68"/>
      <c r="AP57" s="69"/>
      <c r="AQ57" s="70"/>
      <c r="AR57" s="68"/>
      <c r="AS57" s="69"/>
      <c r="AT57" s="70"/>
      <c r="AU57" s="68"/>
      <c r="AV57" s="69"/>
      <c r="AW57" s="70"/>
      <c r="AX57" s="68"/>
      <c r="AY57" s="69"/>
      <c r="AZ57" s="72"/>
      <c r="BA57" s="71"/>
      <c r="BB57" s="69"/>
      <c r="BC57" s="70"/>
      <c r="BD57" s="68"/>
      <c r="BE57" s="69"/>
      <c r="BF57" s="70"/>
      <c r="BG57" s="68"/>
      <c r="BH57" s="69"/>
      <c r="BI57" s="70"/>
      <c r="BJ57" s="68"/>
      <c r="BK57" s="69"/>
      <c r="BL57" s="70"/>
      <c r="BM57" s="68"/>
      <c r="BN57" s="69"/>
      <c r="BO57" s="70"/>
      <c r="BP57" s="68"/>
      <c r="BQ57" s="69"/>
      <c r="BR57" s="70"/>
      <c r="BS57" s="68"/>
      <c r="BT57" s="69"/>
      <c r="BU57" s="70"/>
      <c r="BV57" s="68"/>
      <c r="BW57" s="69"/>
      <c r="BX57" s="70"/>
      <c r="BY57" s="68"/>
      <c r="BZ57" s="69"/>
      <c r="CA57" s="70"/>
      <c r="CB57" s="95"/>
      <c r="CC57" s="43" t="s">
        <v>3</v>
      </c>
      <c r="CD57" s="35"/>
      <c r="CE57" s="35" t="s">
        <v>56</v>
      </c>
      <c r="CF57" s="35"/>
      <c r="CG57" s="35"/>
      <c r="CH57" s="35"/>
      <c r="CI57" s="35"/>
      <c r="CJ57" s="35"/>
      <c r="CK57" s="35"/>
      <c r="CL57" s="35"/>
      <c r="CM57" s="97" t="s">
        <v>70</v>
      </c>
      <c r="CN57" s="97"/>
      <c r="CO57" s="97"/>
      <c r="CP57" s="97"/>
      <c r="CQ57" s="97"/>
    </row>
    <row r="58" spans="1:95" ht="20.100000000000001" customHeight="1" thickBot="1" x14ac:dyDescent="0.3">
      <c r="A58" s="94"/>
      <c r="B58" s="68"/>
      <c r="C58" s="69"/>
      <c r="D58" s="70"/>
      <c r="E58" s="79"/>
      <c r="F58" s="77"/>
      <c r="G58" s="78"/>
      <c r="H58" s="79"/>
      <c r="I58" s="77"/>
      <c r="J58" s="78"/>
      <c r="K58" s="79"/>
      <c r="L58" s="77"/>
      <c r="M58" s="78"/>
      <c r="N58" s="79"/>
      <c r="O58" s="77"/>
      <c r="P58" s="80"/>
      <c r="Q58" s="85"/>
      <c r="R58" s="74"/>
      <c r="S58" s="75"/>
      <c r="T58" s="73"/>
      <c r="U58" s="74"/>
      <c r="V58" s="84"/>
      <c r="W58" s="69"/>
      <c r="X58" s="69"/>
      <c r="Y58" s="70"/>
      <c r="Z58" s="73"/>
      <c r="AA58" s="74"/>
      <c r="AB58" s="75"/>
      <c r="AC58" s="73"/>
      <c r="AD58" s="74"/>
      <c r="AE58" s="75"/>
      <c r="AF58" s="73"/>
      <c r="AG58" s="74"/>
      <c r="AH58" s="75"/>
      <c r="AI58" s="73"/>
      <c r="AJ58" s="74"/>
      <c r="AK58" s="75"/>
      <c r="AL58" s="73"/>
      <c r="AM58" s="74"/>
      <c r="AN58" s="75"/>
      <c r="AO58" s="73"/>
      <c r="AP58" s="74"/>
      <c r="AQ58" s="75"/>
      <c r="AR58" s="73"/>
      <c r="AS58" s="74"/>
      <c r="AT58" s="75"/>
      <c r="AU58" s="73"/>
      <c r="AV58" s="74"/>
      <c r="AW58" s="75"/>
      <c r="AX58" s="73"/>
      <c r="AY58" s="74"/>
      <c r="AZ58" s="84"/>
      <c r="BA58" s="85"/>
      <c r="BB58" s="74"/>
      <c r="BC58" s="75"/>
      <c r="BD58" s="73"/>
      <c r="BE58" s="74"/>
      <c r="BF58" s="75"/>
      <c r="BG58" s="73"/>
      <c r="BH58" s="74"/>
      <c r="BI58" s="75"/>
      <c r="BJ58" s="73"/>
      <c r="BK58" s="74"/>
      <c r="BL58" s="75"/>
      <c r="BM58" s="73"/>
      <c r="BN58" s="74"/>
      <c r="BO58" s="75"/>
      <c r="BP58" s="73"/>
      <c r="BQ58" s="74"/>
      <c r="BR58" s="75"/>
      <c r="BS58" s="73"/>
      <c r="BT58" s="74"/>
      <c r="BU58" s="75"/>
      <c r="BV58" s="73"/>
      <c r="BW58" s="74"/>
      <c r="BX58" s="75"/>
      <c r="BY58" s="73"/>
      <c r="BZ58" s="74"/>
      <c r="CA58" s="75"/>
      <c r="CB58" s="96"/>
      <c r="CC58" s="43" t="s">
        <v>2</v>
      </c>
      <c r="CD58" s="35"/>
      <c r="CE58" s="35" t="s">
        <v>57</v>
      </c>
      <c r="CF58" s="35"/>
      <c r="CG58" s="35"/>
      <c r="CH58" s="35"/>
      <c r="CI58" s="35"/>
      <c r="CJ58" s="35"/>
      <c r="CK58" s="35"/>
      <c r="CL58" s="35"/>
      <c r="CM58" s="97"/>
      <c r="CN58" s="97"/>
      <c r="CO58" s="97"/>
      <c r="CP58" s="97"/>
      <c r="CQ58" s="97"/>
    </row>
    <row r="59" spans="1:95" ht="20.100000000000001" customHeight="1" x14ac:dyDescent="0.25">
      <c r="A59" s="92"/>
      <c r="B59" s="63"/>
      <c r="C59" s="64"/>
      <c r="D59" s="67"/>
      <c r="E59" s="69"/>
      <c r="F59" s="69"/>
      <c r="G59" s="70"/>
      <c r="H59" s="68"/>
      <c r="I59" s="69"/>
      <c r="J59" s="70"/>
      <c r="K59" s="68"/>
      <c r="L59" s="69"/>
      <c r="M59" s="70"/>
      <c r="N59" s="68"/>
      <c r="O59" s="69"/>
      <c r="P59" s="70"/>
      <c r="Q59" s="63"/>
      <c r="R59" s="64"/>
      <c r="S59" s="65"/>
      <c r="T59" s="63"/>
      <c r="U59" s="64"/>
      <c r="V59" s="65"/>
      <c r="W59" s="81"/>
      <c r="X59" s="82"/>
      <c r="Y59" s="83"/>
      <c r="Z59" s="64"/>
      <c r="AA59" s="64"/>
      <c r="AB59" s="65"/>
      <c r="AC59" s="63"/>
      <c r="AD59" s="64"/>
      <c r="AE59" s="65"/>
      <c r="AF59" s="63"/>
      <c r="AG59" s="64"/>
      <c r="AH59" s="65"/>
      <c r="AI59" s="63"/>
      <c r="AJ59" s="64"/>
      <c r="AK59" s="65"/>
      <c r="AL59" s="63"/>
      <c r="AM59" s="64"/>
      <c r="AN59" s="65"/>
      <c r="AO59" s="63"/>
      <c r="AP59" s="64"/>
      <c r="AQ59" s="65"/>
      <c r="AR59" s="63"/>
      <c r="AS59" s="64"/>
      <c r="AT59" s="65"/>
      <c r="AU59" s="63"/>
      <c r="AV59" s="64"/>
      <c r="AW59" s="65"/>
      <c r="AX59" s="63"/>
      <c r="AY59" s="64"/>
      <c r="AZ59" s="67"/>
      <c r="BA59" s="66"/>
      <c r="BB59" s="64"/>
      <c r="BC59" s="65"/>
      <c r="BD59" s="63"/>
      <c r="BE59" s="64"/>
      <c r="BF59" s="65"/>
      <c r="BG59" s="63"/>
      <c r="BH59" s="64"/>
      <c r="BI59" s="65"/>
      <c r="BJ59" s="63"/>
      <c r="BK59" s="64"/>
      <c r="BL59" s="65"/>
      <c r="BM59" s="63"/>
      <c r="BN59" s="64"/>
      <c r="BO59" s="65"/>
      <c r="BP59" s="63"/>
      <c r="BQ59" s="64"/>
      <c r="BR59" s="65"/>
      <c r="BS59" s="63"/>
      <c r="BT59" s="64"/>
      <c r="BU59" s="65"/>
      <c r="BV59" s="63"/>
      <c r="BW59" s="64"/>
      <c r="BX59" s="65"/>
      <c r="BY59" s="63"/>
      <c r="BZ59" s="64"/>
      <c r="CA59" s="65"/>
      <c r="CB59" s="91"/>
      <c r="CC59" s="43" t="s">
        <v>0</v>
      </c>
      <c r="CD59" s="35"/>
      <c r="CE59" s="35" t="s">
        <v>58</v>
      </c>
      <c r="CF59" s="35"/>
      <c r="CG59" s="35"/>
      <c r="CH59" s="35"/>
      <c r="CI59" s="35"/>
      <c r="CJ59" s="35"/>
      <c r="CK59" s="35"/>
      <c r="CL59" s="35"/>
      <c r="CM59" s="97" t="s">
        <v>71</v>
      </c>
      <c r="CN59" s="97"/>
      <c r="CO59" s="97"/>
      <c r="CP59" s="97"/>
      <c r="CQ59" s="97"/>
    </row>
    <row r="60" spans="1:95" ht="20.100000000000001" customHeight="1" thickBot="1" x14ac:dyDescent="0.3">
      <c r="A60" s="93"/>
      <c r="B60" s="68"/>
      <c r="C60" s="69"/>
      <c r="D60" s="72"/>
      <c r="E60" s="69"/>
      <c r="F60" s="69"/>
      <c r="G60" s="70"/>
      <c r="H60" s="68"/>
      <c r="I60" s="69"/>
      <c r="J60" s="70"/>
      <c r="K60" s="68"/>
      <c r="L60" s="69"/>
      <c r="M60" s="70"/>
      <c r="N60" s="68"/>
      <c r="O60" s="69"/>
      <c r="P60" s="70"/>
      <c r="Q60" s="68"/>
      <c r="R60" s="69"/>
      <c r="S60" s="70"/>
      <c r="T60" s="68"/>
      <c r="U60" s="69"/>
      <c r="V60" s="70"/>
      <c r="W60" s="68"/>
      <c r="X60" s="69"/>
      <c r="Y60" s="72"/>
      <c r="Z60" s="69"/>
      <c r="AA60" s="69"/>
      <c r="AB60" s="70"/>
      <c r="AC60" s="68"/>
      <c r="AD60" s="69"/>
      <c r="AE60" s="70"/>
      <c r="AF60" s="68"/>
      <c r="AG60" s="69"/>
      <c r="AH60" s="70"/>
      <c r="AI60" s="68"/>
      <c r="AJ60" s="69"/>
      <c r="AK60" s="70"/>
      <c r="AL60" s="68"/>
      <c r="AM60" s="69"/>
      <c r="AN60" s="70"/>
      <c r="AO60" s="68"/>
      <c r="AP60" s="69"/>
      <c r="AQ60" s="70"/>
      <c r="AR60" s="68"/>
      <c r="AS60" s="69"/>
      <c r="AT60" s="70"/>
      <c r="AU60" s="68"/>
      <c r="AV60" s="69"/>
      <c r="AW60" s="70"/>
      <c r="AX60" s="68"/>
      <c r="AY60" s="69"/>
      <c r="AZ60" s="72"/>
      <c r="BA60" s="71"/>
      <c r="BB60" s="69"/>
      <c r="BC60" s="70"/>
      <c r="BD60" s="68"/>
      <c r="BE60" s="69"/>
      <c r="BF60" s="70"/>
      <c r="BG60" s="68"/>
      <c r="BH60" s="69"/>
      <c r="BI60" s="70"/>
      <c r="BJ60" s="68"/>
      <c r="BK60" s="69"/>
      <c r="BL60" s="70"/>
      <c r="BM60" s="68"/>
      <c r="BN60" s="69"/>
      <c r="BO60" s="70"/>
      <c r="BP60" s="68"/>
      <c r="BQ60" s="69"/>
      <c r="BR60" s="70"/>
      <c r="BS60" s="68"/>
      <c r="BT60" s="69"/>
      <c r="BU60" s="70"/>
      <c r="BV60" s="68"/>
      <c r="BW60" s="69"/>
      <c r="BX60" s="70"/>
      <c r="BY60" s="68"/>
      <c r="BZ60" s="69"/>
      <c r="CA60" s="70"/>
      <c r="CB60" s="95"/>
      <c r="CC60" s="43" t="s">
        <v>127</v>
      </c>
      <c r="CD60" s="35"/>
      <c r="CE60" s="35" t="s">
        <v>66</v>
      </c>
      <c r="CF60" s="35"/>
      <c r="CG60" s="35"/>
      <c r="CH60" s="35"/>
      <c r="CI60" s="35"/>
      <c r="CJ60" s="35"/>
      <c r="CK60" s="35"/>
      <c r="CL60" s="35"/>
      <c r="CM60" s="97"/>
      <c r="CN60" s="97"/>
      <c r="CO60" s="97"/>
      <c r="CP60" s="97"/>
      <c r="CQ60" s="97"/>
    </row>
    <row r="61" spans="1:95" ht="20.100000000000001" customHeight="1" thickBot="1" x14ac:dyDescent="0.3">
      <c r="A61" s="94"/>
      <c r="B61" s="79"/>
      <c r="C61" s="77"/>
      <c r="D61" s="80"/>
      <c r="E61" s="74"/>
      <c r="F61" s="74"/>
      <c r="G61" s="75"/>
      <c r="H61" s="73"/>
      <c r="I61" s="74"/>
      <c r="J61" s="75"/>
      <c r="K61" s="73"/>
      <c r="L61" s="74"/>
      <c r="M61" s="75"/>
      <c r="N61" s="73"/>
      <c r="O61" s="74"/>
      <c r="P61" s="75"/>
      <c r="Q61" s="73"/>
      <c r="R61" s="74"/>
      <c r="S61" s="75"/>
      <c r="T61" s="73"/>
      <c r="U61" s="74"/>
      <c r="V61" s="75"/>
      <c r="W61" s="73"/>
      <c r="X61" s="74"/>
      <c r="Y61" s="84"/>
      <c r="Z61" s="74"/>
      <c r="AA61" s="74"/>
      <c r="AB61" s="75"/>
      <c r="AC61" s="73"/>
      <c r="AD61" s="74"/>
      <c r="AE61" s="75"/>
      <c r="AF61" s="73"/>
      <c r="AG61" s="74"/>
      <c r="AH61" s="75"/>
      <c r="AI61" s="73"/>
      <c r="AJ61" s="74"/>
      <c r="AK61" s="75"/>
      <c r="AL61" s="73"/>
      <c r="AM61" s="74"/>
      <c r="AN61" s="75"/>
      <c r="AO61" s="73"/>
      <c r="AP61" s="74"/>
      <c r="AQ61" s="75"/>
      <c r="AR61" s="73"/>
      <c r="AS61" s="74"/>
      <c r="AT61" s="75"/>
      <c r="AU61" s="73"/>
      <c r="AV61" s="74"/>
      <c r="AW61" s="75"/>
      <c r="AX61" s="73"/>
      <c r="AY61" s="74"/>
      <c r="AZ61" s="84"/>
      <c r="BA61" s="76"/>
      <c r="BB61" s="77"/>
      <c r="BC61" s="78"/>
      <c r="BD61" s="79"/>
      <c r="BE61" s="77"/>
      <c r="BF61" s="78"/>
      <c r="BG61" s="68"/>
      <c r="BH61" s="69"/>
      <c r="BI61" s="70"/>
      <c r="BJ61" s="73"/>
      <c r="BK61" s="74"/>
      <c r="BL61" s="75"/>
      <c r="BM61" s="73"/>
      <c r="BN61" s="74"/>
      <c r="BO61" s="75"/>
      <c r="BP61" s="73"/>
      <c r="BQ61" s="74"/>
      <c r="BR61" s="75"/>
      <c r="BS61" s="73"/>
      <c r="BT61" s="74"/>
      <c r="BU61" s="75"/>
      <c r="BV61" s="73"/>
      <c r="BW61" s="74"/>
      <c r="BX61" s="75"/>
      <c r="BY61" s="73"/>
      <c r="BZ61" s="74"/>
      <c r="CA61" s="75"/>
      <c r="CB61" s="96"/>
      <c r="CC61" s="44" t="s">
        <v>54</v>
      </c>
      <c r="CD61" s="35"/>
      <c r="CE61" s="35" t="s">
        <v>67</v>
      </c>
      <c r="CF61" s="35"/>
      <c r="CG61" s="35"/>
      <c r="CH61" s="35"/>
      <c r="CI61" s="35"/>
      <c r="CJ61" s="35"/>
      <c r="CK61" s="35"/>
      <c r="CL61" s="35"/>
      <c r="CM61" s="97"/>
      <c r="CN61" s="97"/>
      <c r="CO61" s="97"/>
      <c r="CP61" s="97"/>
      <c r="CQ61" s="97"/>
    </row>
    <row r="62" spans="1:95" ht="20.100000000000001" customHeight="1" thickBot="1" x14ac:dyDescent="0.3">
      <c r="A62" s="92"/>
      <c r="B62" s="68"/>
      <c r="C62" s="69"/>
      <c r="D62" s="70"/>
      <c r="E62" s="63"/>
      <c r="F62" s="64"/>
      <c r="G62" s="65"/>
      <c r="H62" s="63"/>
      <c r="I62" s="64"/>
      <c r="J62" s="65"/>
      <c r="K62" s="63"/>
      <c r="L62" s="64"/>
      <c r="M62" s="65"/>
      <c r="N62" s="63"/>
      <c r="O62" s="64"/>
      <c r="P62" s="65"/>
      <c r="Q62" s="63"/>
      <c r="R62" s="64"/>
      <c r="S62" s="65"/>
      <c r="T62" s="63"/>
      <c r="U62" s="64"/>
      <c r="V62" s="65"/>
      <c r="W62" s="63"/>
      <c r="X62" s="64"/>
      <c r="Y62" s="67"/>
      <c r="Z62" s="64"/>
      <c r="AA62" s="64"/>
      <c r="AB62" s="65"/>
      <c r="AC62" s="63"/>
      <c r="AD62" s="64"/>
      <c r="AE62" s="65"/>
      <c r="AF62" s="63"/>
      <c r="AG62" s="64"/>
      <c r="AH62" s="65"/>
      <c r="AI62" s="63"/>
      <c r="AJ62" s="64"/>
      <c r="AK62" s="65"/>
      <c r="AL62" s="63"/>
      <c r="AM62" s="64"/>
      <c r="AN62" s="65"/>
      <c r="AO62" s="63"/>
      <c r="AP62" s="64"/>
      <c r="AQ62" s="65"/>
      <c r="AR62" s="63"/>
      <c r="AS62" s="64"/>
      <c r="AT62" s="65"/>
      <c r="AU62" s="63"/>
      <c r="AV62" s="64"/>
      <c r="AW62" s="65"/>
      <c r="AX62" s="63"/>
      <c r="AY62" s="64"/>
      <c r="AZ62" s="65"/>
      <c r="BA62" s="68"/>
      <c r="BB62" s="69"/>
      <c r="BC62" s="70"/>
      <c r="BD62" s="68"/>
      <c r="BE62" s="69"/>
      <c r="BF62" s="69"/>
      <c r="BG62" s="86"/>
      <c r="BH62" s="82"/>
      <c r="BI62" s="83"/>
      <c r="BJ62" s="64"/>
      <c r="BK62" s="64"/>
      <c r="BL62" s="65"/>
      <c r="BM62" s="63"/>
      <c r="BN62" s="64"/>
      <c r="BO62" s="65"/>
      <c r="BP62" s="63"/>
      <c r="BQ62" s="64"/>
      <c r="BR62" s="65"/>
      <c r="BS62" s="63"/>
      <c r="BT62" s="64"/>
      <c r="BU62" s="65"/>
      <c r="BV62" s="63"/>
      <c r="BW62" s="64"/>
      <c r="BX62" s="65"/>
      <c r="BY62" s="63"/>
      <c r="BZ62" s="64"/>
      <c r="CA62" s="65"/>
      <c r="CB62" s="91"/>
      <c r="CC62" s="45" t="s">
        <v>55</v>
      </c>
      <c r="CD62" s="35"/>
      <c r="CE62" s="35" t="s">
        <v>47</v>
      </c>
      <c r="CF62" s="35"/>
      <c r="CG62" s="35"/>
      <c r="CH62" s="35"/>
      <c r="CI62" s="35"/>
      <c r="CJ62" s="35"/>
      <c r="CK62" s="35"/>
      <c r="CL62" s="35"/>
      <c r="CM62" s="97"/>
      <c r="CN62" s="97"/>
      <c r="CO62" s="97"/>
      <c r="CP62" s="97"/>
      <c r="CQ62" s="97"/>
    </row>
    <row r="63" spans="1:95" ht="20.100000000000001" customHeight="1" thickBot="1" x14ac:dyDescent="0.3">
      <c r="A63" s="93"/>
      <c r="B63" s="68"/>
      <c r="C63" s="69"/>
      <c r="D63" s="70"/>
      <c r="E63" s="68"/>
      <c r="F63" s="69"/>
      <c r="G63" s="70"/>
      <c r="H63" s="68"/>
      <c r="I63" s="69"/>
      <c r="J63" s="70"/>
      <c r="K63" s="68"/>
      <c r="L63" s="69"/>
      <c r="M63" s="70"/>
      <c r="N63" s="68"/>
      <c r="O63" s="69"/>
      <c r="P63" s="70"/>
      <c r="Q63" s="68"/>
      <c r="R63" s="69"/>
      <c r="S63" s="70"/>
      <c r="T63" s="68"/>
      <c r="U63" s="69"/>
      <c r="V63" s="70"/>
      <c r="W63" s="68"/>
      <c r="X63" s="69"/>
      <c r="Y63" s="72"/>
      <c r="Z63" s="69"/>
      <c r="AA63" s="69"/>
      <c r="AB63" s="70"/>
      <c r="AC63" s="68"/>
      <c r="AD63" s="69"/>
      <c r="AE63" s="70"/>
      <c r="AF63" s="68"/>
      <c r="AG63" s="69"/>
      <c r="AH63" s="70"/>
      <c r="AI63" s="68"/>
      <c r="AJ63" s="69"/>
      <c r="AK63" s="70"/>
      <c r="AL63" s="68"/>
      <c r="AM63" s="69"/>
      <c r="AN63" s="70"/>
      <c r="AO63" s="68"/>
      <c r="AP63" s="69"/>
      <c r="AQ63" s="70"/>
      <c r="AR63" s="68"/>
      <c r="AS63" s="69"/>
      <c r="AT63" s="70"/>
      <c r="AU63" s="68"/>
      <c r="AV63" s="69"/>
      <c r="AW63" s="70"/>
      <c r="AX63" s="68"/>
      <c r="AY63" s="69"/>
      <c r="AZ63" s="70"/>
      <c r="BA63" s="68"/>
      <c r="BB63" s="69"/>
      <c r="BC63" s="70"/>
      <c r="BD63" s="68"/>
      <c r="BE63" s="69"/>
      <c r="BF63" s="69"/>
      <c r="BG63" s="71"/>
      <c r="BH63" s="69"/>
      <c r="BI63" s="72"/>
      <c r="BJ63" s="69"/>
      <c r="BK63" s="69"/>
      <c r="BL63" s="70"/>
      <c r="BM63" s="68"/>
      <c r="BN63" s="69"/>
      <c r="BO63" s="70"/>
      <c r="BP63" s="68"/>
      <c r="BQ63" s="69"/>
      <c r="BR63" s="70"/>
      <c r="BS63" s="68"/>
      <c r="BT63" s="69"/>
      <c r="BU63" s="70"/>
      <c r="BV63" s="68"/>
      <c r="BW63" s="69"/>
      <c r="BX63" s="70"/>
      <c r="BY63" s="68"/>
      <c r="BZ63" s="69"/>
      <c r="CA63" s="70"/>
      <c r="CB63" s="95"/>
      <c r="CC63" s="45" t="s">
        <v>1</v>
      </c>
      <c r="CD63" s="35"/>
      <c r="CE63" s="35" t="s">
        <v>52</v>
      </c>
      <c r="CF63" s="35"/>
      <c r="CG63" s="35"/>
      <c r="CH63" s="35"/>
      <c r="CI63" s="35"/>
      <c r="CJ63" s="35"/>
      <c r="CK63" s="35"/>
      <c r="CL63" s="35"/>
      <c r="CM63" s="98" t="s">
        <v>72</v>
      </c>
      <c r="CN63" s="98"/>
      <c r="CO63" s="98"/>
      <c r="CP63" s="98"/>
      <c r="CQ63" s="98"/>
    </row>
    <row r="64" spans="1:95" ht="20.100000000000001" customHeight="1" thickBot="1" x14ac:dyDescent="0.35">
      <c r="A64" s="94"/>
      <c r="B64" s="73"/>
      <c r="C64" s="74"/>
      <c r="D64" s="75"/>
      <c r="E64" s="73"/>
      <c r="F64" s="74"/>
      <c r="G64" s="75"/>
      <c r="H64" s="73"/>
      <c r="I64" s="74"/>
      <c r="J64" s="75"/>
      <c r="K64" s="73"/>
      <c r="L64" s="74"/>
      <c r="M64" s="75"/>
      <c r="N64" s="73"/>
      <c r="O64" s="74"/>
      <c r="P64" s="75"/>
      <c r="Q64" s="73"/>
      <c r="R64" s="74"/>
      <c r="S64" s="75"/>
      <c r="T64" s="73"/>
      <c r="U64" s="74"/>
      <c r="V64" s="75"/>
      <c r="W64" s="73"/>
      <c r="X64" s="74"/>
      <c r="Y64" s="84"/>
      <c r="Z64" s="69"/>
      <c r="AA64" s="69"/>
      <c r="AB64" s="70"/>
      <c r="AC64" s="73"/>
      <c r="AD64" s="74"/>
      <c r="AE64" s="75"/>
      <c r="AF64" s="73"/>
      <c r="AG64" s="74"/>
      <c r="AH64" s="75"/>
      <c r="AI64" s="73"/>
      <c r="AJ64" s="74"/>
      <c r="AK64" s="75"/>
      <c r="AL64" s="73"/>
      <c r="AM64" s="74"/>
      <c r="AN64" s="75"/>
      <c r="AO64" s="73"/>
      <c r="AP64" s="74"/>
      <c r="AQ64" s="75"/>
      <c r="AR64" s="73"/>
      <c r="AS64" s="74"/>
      <c r="AT64" s="75"/>
      <c r="AU64" s="73"/>
      <c r="AV64" s="74"/>
      <c r="AW64" s="75"/>
      <c r="AX64" s="73"/>
      <c r="AY64" s="74"/>
      <c r="AZ64" s="75"/>
      <c r="BA64" s="68"/>
      <c r="BB64" s="69"/>
      <c r="BC64" s="70"/>
      <c r="BD64" s="68"/>
      <c r="BE64" s="69"/>
      <c r="BF64" s="69"/>
      <c r="BG64" s="85"/>
      <c r="BH64" s="74"/>
      <c r="BI64" s="84"/>
      <c r="BJ64" s="69"/>
      <c r="BK64" s="69"/>
      <c r="BL64" s="70"/>
      <c r="BM64" s="68"/>
      <c r="BN64" s="69"/>
      <c r="BO64" s="70"/>
      <c r="BP64" s="68"/>
      <c r="BQ64" s="69"/>
      <c r="BR64" s="70"/>
      <c r="BS64" s="68"/>
      <c r="BT64" s="69"/>
      <c r="BU64" s="70"/>
      <c r="BV64" s="68"/>
      <c r="BW64" s="69"/>
      <c r="BX64" s="70"/>
      <c r="BY64" s="68"/>
      <c r="BZ64" s="69"/>
      <c r="CA64" s="70"/>
      <c r="CB64" s="96"/>
      <c r="CC64" s="35"/>
      <c r="CD64" s="35"/>
      <c r="CE64" s="35"/>
      <c r="CF64" s="37" t="s">
        <v>15</v>
      </c>
      <c r="CG64" s="37" t="s">
        <v>3</v>
      </c>
      <c r="CH64" s="37" t="s">
        <v>2</v>
      </c>
      <c r="CI64" s="37" t="s">
        <v>0</v>
      </c>
      <c r="CJ64" s="35"/>
      <c r="CK64" s="35"/>
      <c r="CL64" s="35"/>
      <c r="CM64" s="98"/>
      <c r="CN64" s="98"/>
      <c r="CO64" s="98"/>
      <c r="CP64" s="98"/>
      <c r="CQ64" s="98"/>
    </row>
    <row r="65" spans="1:95" ht="20.100000000000001" customHeight="1" x14ac:dyDescent="0.25">
      <c r="A65" s="92"/>
      <c r="B65" s="63"/>
      <c r="C65" s="64"/>
      <c r="D65" s="65"/>
      <c r="E65" s="63"/>
      <c r="F65" s="64"/>
      <c r="G65" s="65"/>
      <c r="H65" s="63"/>
      <c r="I65" s="64"/>
      <c r="J65" s="65"/>
      <c r="K65" s="63"/>
      <c r="L65" s="64"/>
      <c r="M65" s="65"/>
      <c r="N65" s="63"/>
      <c r="O65" s="64"/>
      <c r="P65" s="65"/>
      <c r="Q65" s="63"/>
      <c r="R65" s="64"/>
      <c r="S65" s="65"/>
      <c r="T65" s="63"/>
      <c r="U65" s="64"/>
      <c r="V65" s="65"/>
      <c r="W65" s="63"/>
      <c r="X65" s="64"/>
      <c r="Y65" s="65"/>
      <c r="Z65" s="81"/>
      <c r="AA65" s="82"/>
      <c r="AB65" s="83"/>
      <c r="AC65" s="64"/>
      <c r="AD65" s="64"/>
      <c r="AE65" s="65"/>
      <c r="AF65" s="63"/>
      <c r="AG65" s="64"/>
      <c r="AH65" s="65"/>
      <c r="AI65" s="63"/>
      <c r="AJ65" s="64"/>
      <c r="AK65" s="65"/>
      <c r="AL65" s="63"/>
      <c r="AM65" s="64"/>
      <c r="AN65" s="65"/>
      <c r="AO65" s="63"/>
      <c r="AP65" s="64"/>
      <c r="AQ65" s="65"/>
      <c r="AR65" s="63"/>
      <c r="AS65" s="64"/>
      <c r="AT65" s="65"/>
      <c r="AU65" s="63"/>
      <c r="AV65" s="64"/>
      <c r="AW65" s="65"/>
      <c r="AX65" s="63"/>
      <c r="AY65" s="64"/>
      <c r="AZ65" s="64"/>
      <c r="BA65" s="86"/>
      <c r="BB65" s="82"/>
      <c r="BC65" s="87"/>
      <c r="BD65" s="81"/>
      <c r="BE65" s="82"/>
      <c r="BF65" s="87"/>
      <c r="BG65" s="63"/>
      <c r="BH65" s="64"/>
      <c r="BI65" s="65"/>
      <c r="BJ65" s="81"/>
      <c r="BK65" s="82"/>
      <c r="BL65" s="87"/>
      <c r="BM65" s="81"/>
      <c r="BN65" s="82"/>
      <c r="BO65" s="87"/>
      <c r="BP65" s="81"/>
      <c r="BQ65" s="82"/>
      <c r="BR65" s="87"/>
      <c r="BS65" s="81"/>
      <c r="BT65" s="82"/>
      <c r="BU65" s="87"/>
      <c r="BV65" s="81"/>
      <c r="BW65" s="82"/>
      <c r="BX65" s="87"/>
      <c r="BY65" s="81"/>
      <c r="BZ65" s="82"/>
      <c r="CA65" s="87"/>
      <c r="CB65" s="91"/>
      <c r="CC65" s="39" t="s">
        <v>37</v>
      </c>
      <c r="CD65" s="35"/>
      <c r="CE65" s="35"/>
      <c r="CF65" s="46">
        <f>SUM(CG65:CI65)</f>
        <v>0</v>
      </c>
      <c r="CG65" s="46">
        <f>COUNTIF($A$82:$CC$93,CONCATENATE(CG$64," ",$CC65))+COUNTIF($A$82:$CC$93,CONCATENATE(CG$64,"Vc ",$CC65))</f>
        <v>0</v>
      </c>
      <c r="CH65" s="46">
        <f t="shared" ref="CH65:CI79" si="0">COUNTIF($A$82:$CC$93,CONCATENATE(CH$64," ",$CC65))+COUNTIF($A$82:$CC$93,CONCATENATE(CH$64,"Vc ",$CC65))</f>
        <v>0</v>
      </c>
      <c r="CI65" s="46">
        <f t="shared" si="0"/>
        <v>0</v>
      </c>
      <c r="CJ65" s="35"/>
      <c r="CK65" s="35"/>
      <c r="CL65" s="35"/>
      <c r="CM65" s="97" t="s">
        <v>73</v>
      </c>
      <c r="CN65" s="97"/>
      <c r="CO65" s="97"/>
      <c r="CP65" s="97"/>
      <c r="CQ65" s="97"/>
    </row>
    <row r="66" spans="1:95" ht="20.100000000000001" customHeight="1" x14ac:dyDescent="0.25">
      <c r="A66" s="93"/>
      <c r="B66" s="68"/>
      <c r="C66" s="69"/>
      <c r="D66" s="70"/>
      <c r="E66" s="68"/>
      <c r="F66" s="69"/>
      <c r="G66" s="70"/>
      <c r="H66" s="68"/>
      <c r="I66" s="69"/>
      <c r="J66" s="70"/>
      <c r="K66" s="68"/>
      <c r="L66" s="69"/>
      <c r="M66" s="70"/>
      <c r="N66" s="68"/>
      <c r="O66" s="69"/>
      <c r="P66" s="70"/>
      <c r="Q66" s="68"/>
      <c r="R66" s="69"/>
      <c r="S66" s="70"/>
      <c r="T66" s="68"/>
      <c r="U66" s="69"/>
      <c r="V66" s="70"/>
      <c r="W66" s="68"/>
      <c r="X66" s="69"/>
      <c r="Y66" s="70"/>
      <c r="Z66" s="68"/>
      <c r="AA66" s="69"/>
      <c r="AB66" s="72"/>
      <c r="AC66" s="69"/>
      <c r="AD66" s="69"/>
      <c r="AE66" s="70"/>
      <c r="AF66" s="68"/>
      <c r="AG66" s="69"/>
      <c r="AH66" s="70"/>
      <c r="AI66" s="68"/>
      <c r="AJ66" s="69"/>
      <c r="AK66" s="70"/>
      <c r="AL66" s="68"/>
      <c r="AM66" s="69"/>
      <c r="AN66" s="70"/>
      <c r="AO66" s="68"/>
      <c r="AP66" s="69"/>
      <c r="AQ66" s="70"/>
      <c r="AR66" s="68"/>
      <c r="AS66" s="69"/>
      <c r="AT66" s="70"/>
      <c r="AU66" s="68"/>
      <c r="AV66" s="69"/>
      <c r="AW66" s="70"/>
      <c r="AX66" s="68"/>
      <c r="AY66" s="69"/>
      <c r="AZ66" s="69"/>
      <c r="BA66" s="71"/>
      <c r="BB66" s="69"/>
      <c r="BC66" s="70"/>
      <c r="BD66" s="68"/>
      <c r="BE66" s="69"/>
      <c r="BF66" s="70"/>
      <c r="BG66" s="68"/>
      <c r="BH66" s="69"/>
      <c r="BI66" s="70"/>
      <c r="BJ66" s="68"/>
      <c r="BK66" s="69"/>
      <c r="BL66" s="70"/>
      <c r="BM66" s="68"/>
      <c r="BN66" s="69"/>
      <c r="BO66" s="70"/>
      <c r="BP66" s="68"/>
      <c r="BQ66" s="69"/>
      <c r="BR66" s="70"/>
      <c r="BS66" s="68"/>
      <c r="BT66" s="69"/>
      <c r="BU66" s="70"/>
      <c r="BV66" s="68"/>
      <c r="BW66" s="69"/>
      <c r="BX66" s="70"/>
      <c r="BY66" s="68"/>
      <c r="BZ66" s="69"/>
      <c r="CA66" s="70"/>
      <c r="CB66" s="95"/>
      <c r="CC66" s="39" t="s">
        <v>23</v>
      </c>
      <c r="CD66" s="35"/>
      <c r="CE66" s="35"/>
      <c r="CF66" s="46">
        <f t="shared" ref="CF66:CF79" si="1">SUM(CG66:CI66)</f>
        <v>0</v>
      </c>
      <c r="CG66" s="46">
        <f t="shared" ref="CG66:CG79" si="2">COUNTIF($A$82:$CC$93,CONCATENATE(CG$64," ",$CC66))+COUNTIF($A$82:$CC$93,CONCATENATE(CG$64,"Vc ",$CC66))</f>
        <v>0</v>
      </c>
      <c r="CH66" s="46">
        <f t="shared" si="0"/>
        <v>0</v>
      </c>
      <c r="CI66" s="46">
        <f t="shared" si="0"/>
        <v>0</v>
      </c>
      <c r="CJ66" s="35"/>
      <c r="CK66" s="35"/>
      <c r="CL66" s="35"/>
      <c r="CM66" s="97"/>
      <c r="CN66" s="97"/>
      <c r="CO66" s="97"/>
      <c r="CP66" s="97"/>
      <c r="CQ66" s="97"/>
    </row>
    <row r="67" spans="1:95" ht="20.100000000000001" customHeight="1" thickBot="1" x14ac:dyDescent="0.3">
      <c r="A67" s="94"/>
      <c r="B67" s="73"/>
      <c r="C67" s="74"/>
      <c r="D67" s="75"/>
      <c r="E67" s="73"/>
      <c r="F67" s="74"/>
      <c r="G67" s="75"/>
      <c r="H67" s="73"/>
      <c r="I67" s="74"/>
      <c r="J67" s="75"/>
      <c r="K67" s="73"/>
      <c r="L67" s="74"/>
      <c r="M67" s="75"/>
      <c r="N67" s="73"/>
      <c r="O67" s="74"/>
      <c r="P67" s="75"/>
      <c r="Q67" s="73"/>
      <c r="R67" s="74"/>
      <c r="S67" s="75"/>
      <c r="T67" s="73"/>
      <c r="U67" s="74"/>
      <c r="V67" s="75"/>
      <c r="W67" s="73"/>
      <c r="X67" s="74"/>
      <c r="Y67" s="75"/>
      <c r="Z67" s="73"/>
      <c r="AA67" s="74"/>
      <c r="AB67" s="84"/>
      <c r="AC67" s="69"/>
      <c r="AD67" s="69"/>
      <c r="AE67" s="70"/>
      <c r="AF67" s="73"/>
      <c r="AG67" s="74"/>
      <c r="AH67" s="75"/>
      <c r="AI67" s="73"/>
      <c r="AJ67" s="74"/>
      <c r="AK67" s="75"/>
      <c r="AL67" s="73"/>
      <c r="AM67" s="74"/>
      <c r="AN67" s="75"/>
      <c r="AO67" s="68"/>
      <c r="AP67" s="69"/>
      <c r="AQ67" s="70"/>
      <c r="AR67" s="68"/>
      <c r="AS67" s="69"/>
      <c r="AT67" s="70"/>
      <c r="AU67" s="68"/>
      <c r="AV67" s="69"/>
      <c r="AW67" s="70"/>
      <c r="AX67" s="68"/>
      <c r="AY67" s="69"/>
      <c r="AZ67" s="69"/>
      <c r="BA67" s="85"/>
      <c r="BB67" s="74"/>
      <c r="BC67" s="75"/>
      <c r="BD67" s="73"/>
      <c r="BE67" s="74"/>
      <c r="BF67" s="75"/>
      <c r="BG67" s="73"/>
      <c r="BH67" s="74"/>
      <c r="BI67" s="75"/>
      <c r="BJ67" s="73"/>
      <c r="BK67" s="74"/>
      <c r="BL67" s="75"/>
      <c r="BM67" s="73"/>
      <c r="BN67" s="74"/>
      <c r="BO67" s="75"/>
      <c r="BP67" s="73"/>
      <c r="BQ67" s="74"/>
      <c r="BR67" s="75"/>
      <c r="BS67" s="73"/>
      <c r="BT67" s="74"/>
      <c r="BU67" s="75"/>
      <c r="BV67" s="73"/>
      <c r="BW67" s="74"/>
      <c r="BX67" s="75"/>
      <c r="BY67" s="73"/>
      <c r="BZ67" s="74"/>
      <c r="CA67" s="75"/>
      <c r="CB67" s="96"/>
      <c r="CC67" s="39" t="s">
        <v>38</v>
      </c>
      <c r="CD67" s="35"/>
      <c r="CE67" s="35"/>
      <c r="CF67" s="46">
        <f t="shared" si="1"/>
        <v>0</v>
      </c>
      <c r="CG67" s="46">
        <f t="shared" si="2"/>
        <v>0</v>
      </c>
      <c r="CH67" s="46">
        <f t="shared" si="0"/>
        <v>0</v>
      </c>
      <c r="CI67" s="46">
        <f t="shared" si="0"/>
        <v>0</v>
      </c>
      <c r="CJ67" s="35"/>
      <c r="CK67" s="35"/>
      <c r="CL67" s="35"/>
      <c r="CM67" s="97"/>
      <c r="CN67" s="97"/>
      <c r="CO67" s="97"/>
      <c r="CP67" s="97"/>
      <c r="CQ67" s="97"/>
    </row>
    <row r="68" spans="1:95" ht="20.100000000000001" customHeight="1" x14ac:dyDescent="0.25">
      <c r="A68" s="92"/>
      <c r="B68" s="63"/>
      <c r="C68" s="64"/>
      <c r="D68" s="65"/>
      <c r="E68" s="63"/>
      <c r="F68" s="64"/>
      <c r="G68" s="65"/>
      <c r="H68" s="63"/>
      <c r="I68" s="64"/>
      <c r="J68" s="65"/>
      <c r="K68" s="63"/>
      <c r="L68" s="64"/>
      <c r="M68" s="65"/>
      <c r="N68" s="63"/>
      <c r="O68" s="64"/>
      <c r="P68" s="65"/>
      <c r="Q68" s="63"/>
      <c r="R68" s="64"/>
      <c r="S68" s="65"/>
      <c r="T68" s="63"/>
      <c r="U68" s="64"/>
      <c r="V68" s="65"/>
      <c r="W68" s="63"/>
      <c r="X68" s="64"/>
      <c r="Y68" s="65"/>
      <c r="Z68" s="63"/>
      <c r="AA68" s="64"/>
      <c r="AB68" s="65"/>
      <c r="AC68" s="81"/>
      <c r="AD68" s="82"/>
      <c r="AE68" s="83"/>
      <c r="AF68" s="64"/>
      <c r="AG68" s="64"/>
      <c r="AH68" s="65"/>
      <c r="AI68" s="63"/>
      <c r="AJ68" s="64"/>
      <c r="AK68" s="65"/>
      <c r="AL68" s="63"/>
      <c r="AM68" s="64"/>
      <c r="AN68" s="64"/>
      <c r="AO68" s="86"/>
      <c r="AP68" s="82"/>
      <c r="AQ68" s="87"/>
      <c r="AR68" s="81"/>
      <c r="AS68" s="82"/>
      <c r="AT68" s="87"/>
      <c r="AU68" s="81"/>
      <c r="AV68" s="82"/>
      <c r="AW68" s="87"/>
      <c r="AX68" s="81"/>
      <c r="AY68" s="82"/>
      <c r="AZ68" s="87"/>
      <c r="BA68" s="63"/>
      <c r="BB68" s="64"/>
      <c r="BC68" s="65"/>
      <c r="BD68" s="63"/>
      <c r="BE68" s="64"/>
      <c r="BF68" s="65"/>
      <c r="BG68" s="63"/>
      <c r="BH68" s="64"/>
      <c r="BI68" s="65"/>
      <c r="BJ68" s="63"/>
      <c r="BK68" s="64"/>
      <c r="BL68" s="65"/>
      <c r="BM68" s="63"/>
      <c r="BN68" s="64"/>
      <c r="BO68" s="65"/>
      <c r="BP68" s="63"/>
      <c r="BQ68" s="64"/>
      <c r="BR68" s="65"/>
      <c r="BS68" s="63"/>
      <c r="BT68" s="64"/>
      <c r="BU68" s="65"/>
      <c r="BV68" s="63"/>
      <c r="BW68" s="64"/>
      <c r="BX68" s="65"/>
      <c r="BY68" s="63"/>
      <c r="BZ68" s="64"/>
      <c r="CA68" s="65"/>
      <c r="CB68" s="91"/>
      <c r="CC68" s="39" t="s">
        <v>39</v>
      </c>
      <c r="CD68" s="35"/>
      <c r="CE68" s="35"/>
      <c r="CF68" s="46">
        <f t="shared" si="1"/>
        <v>0</v>
      </c>
      <c r="CG68" s="46">
        <f t="shared" si="2"/>
        <v>0</v>
      </c>
      <c r="CH68" s="46">
        <f t="shared" si="0"/>
        <v>0</v>
      </c>
      <c r="CI68" s="46">
        <f t="shared" si="0"/>
        <v>0</v>
      </c>
      <c r="CJ68" s="35"/>
      <c r="CK68" s="35"/>
      <c r="CL68" s="35"/>
      <c r="CM68" s="35"/>
      <c r="CN68" s="35"/>
      <c r="CO68" s="35"/>
      <c r="CP68" s="35"/>
      <c r="CQ68" s="35"/>
    </row>
    <row r="69" spans="1:95" ht="20.100000000000001" customHeight="1" x14ac:dyDescent="0.25">
      <c r="A69" s="93"/>
      <c r="B69" s="68"/>
      <c r="C69" s="69"/>
      <c r="D69" s="70"/>
      <c r="E69" s="68"/>
      <c r="F69" s="69"/>
      <c r="G69" s="70"/>
      <c r="H69" s="68"/>
      <c r="I69" s="69"/>
      <c r="J69" s="70"/>
      <c r="K69" s="68"/>
      <c r="L69" s="69"/>
      <c r="M69" s="70"/>
      <c r="N69" s="68"/>
      <c r="O69" s="69"/>
      <c r="P69" s="70"/>
      <c r="Q69" s="68"/>
      <c r="R69" s="69"/>
      <c r="S69" s="70"/>
      <c r="T69" s="68"/>
      <c r="U69" s="69"/>
      <c r="V69" s="70"/>
      <c r="W69" s="68"/>
      <c r="X69" s="69"/>
      <c r="Y69" s="70"/>
      <c r="Z69" s="68"/>
      <c r="AA69" s="69"/>
      <c r="AB69" s="70"/>
      <c r="AC69" s="68"/>
      <c r="AD69" s="69"/>
      <c r="AE69" s="72"/>
      <c r="AF69" s="69"/>
      <c r="AG69" s="69"/>
      <c r="AH69" s="70"/>
      <c r="AI69" s="68"/>
      <c r="AJ69" s="69"/>
      <c r="AK69" s="70"/>
      <c r="AL69" s="68"/>
      <c r="AM69" s="69"/>
      <c r="AN69" s="69"/>
      <c r="AO69" s="71"/>
      <c r="AP69" s="69"/>
      <c r="AQ69" s="70"/>
      <c r="AR69" s="68"/>
      <c r="AS69" s="69"/>
      <c r="AT69" s="70"/>
      <c r="AU69" s="68"/>
      <c r="AV69" s="69"/>
      <c r="AW69" s="70"/>
      <c r="AX69" s="68"/>
      <c r="AY69" s="69"/>
      <c r="AZ69" s="70"/>
      <c r="BA69" s="68"/>
      <c r="BB69" s="69"/>
      <c r="BC69" s="70"/>
      <c r="BD69" s="68"/>
      <c r="BE69" s="69"/>
      <c r="BF69" s="70"/>
      <c r="BG69" s="68"/>
      <c r="BH69" s="69"/>
      <c r="BI69" s="70"/>
      <c r="BJ69" s="68"/>
      <c r="BK69" s="69"/>
      <c r="BL69" s="70"/>
      <c r="BM69" s="68"/>
      <c r="BN69" s="69"/>
      <c r="BO69" s="70"/>
      <c r="BP69" s="68"/>
      <c r="BQ69" s="69"/>
      <c r="BR69" s="70"/>
      <c r="BS69" s="68"/>
      <c r="BT69" s="69"/>
      <c r="BU69" s="70"/>
      <c r="BV69" s="68"/>
      <c r="BW69" s="69"/>
      <c r="BX69" s="70"/>
      <c r="BY69" s="68"/>
      <c r="BZ69" s="69"/>
      <c r="CA69" s="70"/>
      <c r="CB69" s="95"/>
      <c r="CC69" s="39" t="s">
        <v>18</v>
      </c>
      <c r="CD69" s="35"/>
      <c r="CE69" s="35"/>
      <c r="CF69" s="46">
        <f t="shared" si="1"/>
        <v>0</v>
      </c>
      <c r="CG69" s="46">
        <f t="shared" si="2"/>
        <v>0</v>
      </c>
      <c r="CH69" s="46">
        <f t="shared" si="0"/>
        <v>0</v>
      </c>
      <c r="CI69" s="46">
        <f t="shared" si="0"/>
        <v>0</v>
      </c>
      <c r="CJ69" s="35"/>
      <c r="CK69" s="35"/>
      <c r="CL69" s="35"/>
      <c r="CM69" s="35"/>
      <c r="CN69" s="35"/>
      <c r="CO69" s="35"/>
      <c r="CP69" s="35"/>
      <c r="CQ69" s="35"/>
    </row>
    <row r="70" spans="1:95" ht="20.100000000000001" customHeight="1" thickBot="1" x14ac:dyDescent="0.3">
      <c r="A70" s="94"/>
      <c r="B70" s="73"/>
      <c r="C70" s="74"/>
      <c r="D70" s="75"/>
      <c r="E70" s="73"/>
      <c r="F70" s="74"/>
      <c r="G70" s="75"/>
      <c r="H70" s="73"/>
      <c r="I70" s="74"/>
      <c r="J70" s="75"/>
      <c r="K70" s="73"/>
      <c r="L70" s="74"/>
      <c r="M70" s="75"/>
      <c r="N70" s="73"/>
      <c r="O70" s="74"/>
      <c r="P70" s="75"/>
      <c r="Q70" s="73"/>
      <c r="R70" s="74"/>
      <c r="S70" s="75"/>
      <c r="T70" s="73"/>
      <c r="U70" s="74"/>
      <c r="V70" s="75"/>
      <c r="W70" s="73"/>
      <c r="X70" s="74"/>
      <c r="Y70" s="75"/>
      <c r="Z70" s="73"/>
      <c r="AA70" s="74"/>
      <c r="AB70" s="75"/>
      <c r="AC70" s="73"/>
      <c r="AD70" s="74"/>
      <c r="AE70" s="84"/>
      <c r="AF70" s="74"/>
      <c r="AG70" s="74"/>
      <c r="AH70" s="75"/>
      <c r="AI70" s="73"/>
      <c r="AJ70" s="74"/>
      <c r="AK70" s="75"/>
      <c r="AL70" s="68"/>
      <c r="AM70" s="69"/>
      <c r="AN70" s="69"/>
      <c r="AO70" s="85"/>
      <c r="AP70" s="74"/>
      <c r="AQ70" s="75"/>
      <c r="AR70" s="73"/>
      <c r="AS70" s="74"/>
      <c r="AT70" s="75"/>
      <c r="AU70" s="73"/>
      <c r="AV70" s="74"/>
      <c r="AW70" s="75"/>
      <c r="AX70" s="73"/>
      <c r="AY70" s="74"/>
      <c r="AZ70" s="75"/>
      <c r="BA70" s="73"/>
      <c r="BB70" s="74"/>
      <c r="BC70" s="75"/>
      <c r="BD70" s="73"/>
      <c r="BE70" s="74"/>
      <c r="BF70" s="75"/>
      <c r="BG70" s="73"/>
      <c r="BH70" s="74"/>
      <c r="BI70" s="75"/>
      <c r="BJ70" s="73"/>
      <c r="BK70" s="74"/>
      <c r="BL70" s="75"/>
      <c r="BM70" s="73"/>
      <c r="BN70" s="74"/>
      <c r="BO70" s="75"/>
      <c r="BP70" s="73"/>
      <c r="BQ70" s="74"/>
      <c r="BR70" s="75"/>
      <c r="BS70" s="73"/>
      <c r="BT70" s="74"/>
      <c r="BU70" s="75"/>
      <c r="BV70" s="73"/>
      <c r="BW70" s="74"/>
      <c r="BX70" s="75"/>
      <c r="BY70" s="73"/>
      <c r="BZ70" s="74"/>
      <c r="CA70" s="75"/>
      <c r="CB70" s="96"/>
      <c r="CC70" s="39" t="s">
        <v>17</v>
      </c>
      <c r="CD70" s="35"/>
      <c r="CE70" s="35"/>
      <c r="CF70" s="46">
        <f t="shared" si="1"/>
        <v>0</v>
      </c>
      <c r="CG70" s="46">
        <f t="shared" si="2"/>
        <v>0</v>
      </c>
      <c r="CH70" s="46">
        <f t="shared" si="0"/>
        <v>0</v>
      </c>
      <c r="CI70" s="46">
        <f t="shared" si="0"/>
        <v>0</v>
      </c>
      <c r="CJ70" s="35"/>
      <c r="CK70" s="35"/>
      <c r="CL70" s="35"/>
      <c r="CM70" s="35"/>
      <c r="CN70" s="35"/>
      <c r="CO70" s="35"/>
      <c r="CP70" s="35"/>
      <c r="CQ70" s="35"/>
    </row>
    <row r="71" spans="1:95" ht="20.100000000000001" customHeight="1" x14ac:dyDescent="0.25">
      <c r="A71" s="92"/>
      <c r="B71" s="63"/>
      <c r="C71" s="64"/>
      <c r="D71" s="65"/>
      <c r="E71" s="63"/>
      <c r="F71" s="64"/>
      <c r="G71" s="65"/>
      <c r="H71" s="63"/>
      <c r="I71" s="64"/>
      <c r="J71" s="65"/>
      <c r="K71" s="63"/>
      <c r="L71" s="64"/>
      <c r="M71" s="65"/>
      <c r="N71" s="63"/>
      <c r="O71" s="64"/>
      <c r="P71" s="65"/>
      <c r="Q71" s="63"/>
      <c r="R71" s="64"/>
      <c r="S71" s="65"/>
      <c r="T71" s="63"/>
      <c r="U71" s="64"/>
      <c r="V71" s="65"/>
      <c r="W71" s="63"/>
      <c r="X71" s="64"/>
      <c r="Y71" s="65"/>
      <c r="Z71" s="63"/>
      <c r="AA71" s="64"/>
      <c r="AB71" s="65"/>
      <c r="AC71" s="63"/>
      <c r="AD71" s="64"/>
      <c r="AE71" s="67"/>
      <c r="AF71" s="64"/>
      <c r="AG71" s="64"/>
      <c r="AH71" s="65"/>
      <c r="AI71" s="63"/>
      <c r="AJ71" s="64"/>
      <c r="AK71" s="64"/>
      <c r="AL71" s="86"/>
      <c r="AM71" s="82"/>
      <c r="AN71" s="87"/>
      <c r="AO71" s="63"/>
      <c r="AP71" s="64"/>
      <c r="AQ71" s="65"/>
      <c r="AR71" s="63"/>
      <c r="AS71" s="64"/>
      <c r="AT71" s="65"/>
      <c r="AU71" s="63"/>
      <c r="AV71" s="64"/>
      <c r="AW71" s="65"/>
      <c r="AX71" s="63"/>
      <c r="AY71" s="64"/>
      <c r="AZ71" s="65"/>
      <c r="BA71" s="63"/>
      <c r="BB71" s="64"/>
      <c r="BC71" s="65"/>
      <c r="BD71" s="63"/>
      <c r="BE71" s="64"/>
      <c r="BF71" s="65"/>
      <c r="BG71" s="63"/>
      <c r="BH71" s="64"/>
      <c r="BI71" s="65"/>
      <c r="BJ71" s="63"/>
      <c r="BK71" s="64"/>
      <c r="BL71" s="65"/>
      <c r="BM71" s="63"/>
      <c r="BN71" s="64"/>
      <c r="BO71" s="65"/>
      <c r="BP71" s="63"/>
      <c r="BQ71" s="64"/>
      <c r="BR71" s="65"/>
      <c r="BS71" s="63"/>
      <c r="BT71" s="64"/>
      <c r="BU71" s="65"/>
      <c r="BV71" s="63"/>
      <c r="BW71" s="64"/>
      <c r="BX71" s="65"/>
      <c r="BY71" s="63"/>
      <c r="BZ71" s="64"/>
      <c r="CA71" s="65"/>
      <c r="CB71" s="91"/>
      <c r="CC71" s="39" t="s">
        <v>40</v>
      </c>
      <c r="CD71" s="35"/>
      <c r="CE71" s="35"/>
      <c r="CF71" s="46">
        <f t="shared" si="1"/>
        <v>0</v>
      </c>
      <c r="CG71" s="46">
        <f t="shared" si="2"/>
        <v>0</v>
      </c>
      <c r="CH71" s="46">
        <f t="shared" si="0"/>
        <v>0</v>
      </c>
      <c r="CI71" s="46">
        <f t="shared" si="0"/>
        <v>0</v>
      </c>
      <c r="CJ71" s="35"/>
      <c r="CK71" s="35"/>
      <c r="CL71" s="35"/>
      <c r="CM71" s="35"/>
      <c r="CN71" s="35"/>
      <c r="CO71" s="35"/>
      <c r="CP71" s="35"/>
      <c r="CQ71" s="35"/>
    </row>
    <row r="72" spans="1:95" ht="20.100000000000001" customHeight="1" x14ac:dyDescent="0.25">
      <c r="A72" s="93"/>
      <c r="B72" s="68"/>
      <c r="C72" s="69"/>
      <c r="D72" s="70"/>
      <c r="E72" s="68"/>
      <c r="F72" s="69"/>
      <c r="G72" s="70"/>
      <c r="H72" s="68"/>
      <c r="I72" s="69"/>
      <c r="J72" s="70"/>
      <c r="K72" s="68"/>
      <c r="L72" s="69"/>
      <c r="M72" s="70"/>
      <c r="N72" s="68"/>
      <c r="O72" s="69"/>
      <c r="P72" s="70"/>
      <c r="Q72" s="68"/>
      <c r="R72" s="69"/>
      <c r="S72" s="70"/>
      <c r="T72" s="68"/>
      <c r="U72" s="69"/>
      <c r="V72" s="70"/>
      <c r="W72" s="68"/>
      <c r="X72" s="69"/>
      <c r="Y72" s="70"/>
      <c r="Z72" s="68"/>
      <c r="AA72" s="69"/>
      <c r="AB72" s="70"/>
      <c r="AC72" s="68"/>
      <c r="AD72" s="69"/>
      <c r="AE72" s="72"/>
      <c r="AF72" s="69"/>
      <c r="AG72" s="69"/>
      <c r="AH72" s="70"/>
      <c r="AI72" s="68"/>
      <c r="AJ72" s="69"/>
      <c r="AK72" s="69"/>
      <c r="AL72" s="71"/>
      <c r="AM72" s="69"/>
      <c r="AN72" s="70"/>
      <c r="AO72" s="68"/>
      <c r="AP72" s="69"/>
      <c r="AQ72" s="70"/>
      <c r="AR72" s="68"/>
      <c r="AS72" s="69"/>
      <c r="AT72" s="70"/>
      <c r="AU72" s="68"/>
      <c r="AV72" s="69"/>
      <c r="AW72" s="70"/>
      <c r="AX72" s="68"/>
      <c r="AY72" s="69"/>
      <c r="AZ72" s="70"/>
      <c r="BA72" s="68"/>
      <c r="BB72" s="69"/>
      <c r="BC72" s="70"/>
      <c r="BD72" s="68"/>
      <c r="BE72" s="69"/>
      <c r="BF72" s="70"/>
      <c r="BG72" s="68"/>
      <c r="BH72" s="69"/>
      <c r="BI72" s="70"/>
      <c r="BJ72" s="68"/>
      <c r="BK72" s="69"/>
      <c r="BL72" s="70"/>
      <c r="BM72" s="68"/>
      <c r="BN72" s="69"/>
      <c r="BO72" s="70"/>
      <c r="BP72" s="68"/>
      <c r="BQ72" s="69"/>
      <c r="BR72" s="70"/>
      <c r="BS72" s="68"/>
      <c r="BT72" s="69"/>
      <c r="BU72" s="70"/>
      <c r="BV72" s="68"/>
      <c r="BW72" s="69"/>
      <c r="BX72" s="70"/>
      <c r="BY72" s="68"/>
      <c r="BZ72" s="69"/>
      <c r="CA72" s="70"/>
      <c r="CB72" s="95"/>
      <c r="CC72" s="39" t="s">
        <v>20</v>
      </c>
      <c r="CD72" s="35"/>
      <c r="CE72" s="35"/>
      <c r="CF72" s="46">
        <f t="shared" si="1"/>
        <v>0</v>
      </c>
      <c r="CG72" s="46">
        <f t="shared" si="2"/>
        <v>0</v>
      </c>
      <c r="CH72" s="46">
        <f t="shared" si="0"/>
        <v>0</v>
      </c>
      <c r="CI72" s="46">
        <f t="shared" si="0"/>
        <v>0</v>
      </c>
      <c r="CJ72" s="35"/>
      <c r="CK72" s="35"/>
      <c r="CL72" s="35"/>
      <c r="CM72" s="35"/>
      <c r="CN72" s="35"/>
      <c r="CO72" s="35"/>
      <c r="CP72" s="35"/>
      <c r="CQ72" s="35"/>
    </row>
    <row r="73" spans="1:95" ht="20.100000000000001" customHeight="1" thickBot="1" x14ac:dyDescent="0.3">
      <c r="A73" s="94"/>
      <c r="B73" s="73"/>
      <c r="C73" s="74"/>
      <c r="D73" s="75"/>
      <c r="E73" s="73"/>
      <c r="F73" s="74"/>
      <c r="G73" s="75"/>
      <c r="H73" s="73"/>
      <c r="I73" s="74"/>
      <c r="J73" s="75"/>
      <c r="K73" s="73"/>
      <c r="L73" s="74"/>
      <c r="M73" s="75"/>
      <c r="N73" s="73"/>
      <c r="O73" s="74"/>
      <c r="P73" s="75"/>
      <c r="Q73" s="73"/>
      <c r="R73" s="74"/>
      <c r="S73" s="75"/>
      <c r="T73" s="73"/>
      <c r="U73" s="74"/>
      <c r="V73" s="75"/>
      <c r="W73" s="73"/>
      <c r="X73" s="74"/>
      <c r="Y73" s="75"/>
      <c r="Z73" s="73"/>
      <c r="AA73" s="74"/>
      <c r="AB73" s="75"/>
      <c r="AC73" s="73"/>
      <c r="AD73" s="74"/>
      <c r="AE73" s="84"/>
      <c r="AF73" s="69"/>
      <c r="AG73" s="69"/>
      <c r="AH73" s="70"/>
      <c r="AI73" s="68"/>
      <c r="AJ73" s="69"/>
      <c r="AK73" s="69"/>
      <c r="AL73" s="85"/>
      <c r="AM73" s="74"/>
      <c r="AN73" s="75"/>
      <c r="AO73" s="73"/>
      <c r="AP73" s="74"/>
      <c r="AQ73" s="75"/>
      <c r="AR73" s="73"/>
      <c r="AS73" s="74"/>
      <c r="AT73" s="75"/>
      <c r="AU73" s="73"/>
      <c r="AV73" s="74"/>
      <c r="AW73" s="75"/>
      <c r="AX73" s="73"/>
      <c r="AY73" s="74"/>
      <c r="AZ73" s="75"/>
      <c r="BA73" s="73"/>
      <c r="BB73" s="74"/>
      <c r="BC73" s="75"/>
      <c r="BD73" s="73"/>
      <c r="BE73" s="74"/>
      <c r="BF73" s="75"/>
      <c r="BG73" s="73"/>
      <c r="BH73" s="74"/>
      <c r="BI73" s="75"/>
      <c r="BJ73" s="73"/>
      <c r="BK73" s="74"/>
      <c r="BL73" s="75"/>
      <c r="BM73" s="73"/>
      <c r="BN73" s="74"/>
      <c r="BO73" s="75"/>
      <c r="BP73" s="73"/>
      <c r="BQ73" s="74"/>
      <c r="BR73" s="75"/>
      <c r="BS73" s="73"/>
      <c r="BT73" s="74"/>
      <c r="BU73" s="75"/>
      <c r="BV73" s="73"/>
      <c r="BW73" s="74"/>
      <c r="BX73" s="75"/>
      <c r="BY73" s="73"/>
      <c r="BZ73" s="74"/>
      <c r="CA73" s="75"/>
      <c r="CB73" s="96"/>
      <c r="CC73" s="39" t="s">
        <v>24</v>
      </c>
      <c r="CD73" s="35"/>
      <c r="CE73" s="35"/>
      <c r="CF73" s="46">
        <f t="shared" si="1"/>
        <v>0</v>
      </c>
      <c r="CG73" s="46">
        <f t="shared" si="2"/>
        <v>0</v>
      </c>
      <c r="CH73" s="46">
        <f t="shared" si="0"/>
        <v>0</v>
      </c>
      <c r="CI73" s="46">
        <f t="shared" si="0"/>
        <v>0</v>
      </c>
      <c r="CJ73" s="35"/>
      <c r="CK73" s="35"/>
      <c r="CL73" s="35"/>
      <c r="CM73" s="35"/>
      <c r="CN73" s="35"/>
      <c r="CO73" s="35"/>
      <c r="CP73" s="35"/>
      <c r="CQ73" s="35"/>
    </row>
    <row r="74" spans="1:95" ht="20.100000000000001" customHeight="1" x14ac:dyDescent="0.25">
      <c r="A74" s="92"/>
      <c r="B74" s="63"/>
      <c r="C74" s="64"/>
      <c r="D74" s="65"/>
      <c r="E74" s="63"/>
      <c r="F74" s="64"/>
      <c r="G74" s="65"/>
      <c r="H74" s="63"/>
      <c r="I74" s="64"/>
      <c r="J74" s="65"/>
      <c r="K74" s="63"/>
      <c r="L74" s="64"/>
      <c r="M74" s="65"/>
      <c r="N74" s="63"/>
      <c r="O74" s="64"/>
      <c r="P74" s="65"/>
      <c r="Q74" s="63"/>
      <c r="R74" s="64"/>
      <c r="S74" s="65"/>
      <c r="T74" s="63"/>
      <c r="U74" s="64"/>
      <c r="V74" s="65"/>
      <c r="W74" s="63"/>
      <c r="X74" s="64"/>
      <c r="Y74" s="65"/>
      <c r="Z74" s="63"/>
      <c r="AA74" s="64"/>
      <c r="AB74" s="65"/>
      <c r="AC74" s="63"/>
      <c r="AD74" s="64"/>
      <c r="AE74" s="65"/>
      <c r="AF74" s="81"/>
      <c r="AG74" s="82"/>
      <c r="AH74" s="83"/>
      <c r="AI74" s="86"/>
      <c r="AJ74" s="82"/>
      <c r="AK74" s="87"/>
      <c r="AL74" s="63"/>
      <c r="AM74" s="64"/>
      <c r="AN74" s="65"/>
      <c r="AO74" s="63"/>
      <c r="AP74" s="64"/>
      <c r="AQ74" s="65"/>
      <c r="AR74" s="63"/>
      <c r="AS74" s="64"/>
      <c r="AT74" s="65"/>
      <c r="AU74" s="63"/>
      <c r="AV74" s="64"/>
      <c r="AW74" s="65"/>
      <c r="AX74" s="63"/>
      <c r="AY74" s="64"/>
      <c r="AZ74" s="65"/>
      <c r="BA74" s="63"/>
      <c r="BB74" s="64"/>
      <c r="BC74" s="65"/>
      <c r="BD74" s="63"/>
      <c r="BE74" s="64"/>
      <c r="BF74" s="65"/>
      <c r="BG74" s="63"/>
      <c r="BH74" s="64"/>
      <c r="BI74" s="65"/>
      <c r="BJ74" s="63"/>
      <c r="BK74" s="64"/>
      <c r="BL74" s="65"/>
      <c r="BM74" s="63"/>
      <c r="BN74" s="64"/>
      <c r="BO74" s="65"/>
      <c r="BP74" s="63"/>
      <c r="BQ74" s="64"/>
      <c r="BR74" s="65"/>
      <c r="BS74" s="63"/>
      <c r="BT74" s="64"/>
      <c r="BU74" s="65"/>
      <c r="BV74" s="63"/>
      <c r="BW74" s="64"/>
      <c r="BX74" s="65"/>
      <c r="BY74" s="63"/>
      <c r="BZ74" s="64"/>
      <c r="CA74" s="65"/>
      <c r="CB74" s="91"/>
      <c r="CC74" s="39" t="s">
        <v>41</v>
      </c>
      <c r="CD74" s="35"/>
      <c r="CE74" s="35"/>
      <c r="CF74" s="46">
        <f t="shared" si="1"/>
        <v>0</v>
      </c>
      <c r="CG74" s="46">
        <f t="shared" si="2"/>
        <v>0</v>
      </c>
      <c r="CH74" s="46">
        <f t="shared" si="0"/>
        <v>0</v>
      </c>
      <c r="CI74" s="46">
        <f t="shared" si="0"/>
        <v>0</v>
      </c>
      <c r="CJ74" s="35"/>
      <c r="CK74" s="35"/>
      <c r="CL74" s="35"/>
      <c r="CM74" s="35"/>
      <c r="CN74" s="35"/>
      <c r="CO74" s="35"/>
      <c r="CP74" s="35"/>
      <c r="CQ74" s="35"/>
    </row>
    <row r="75" spans="1:95" ht="20.100000000000001" customHeight="1" x14ac:dyDescent="0.25">
      <c r="A75" s="93"/>
      <c r="B75" s="68"/>
      <c r="C75" s="69"/>
      <c r="D75" s="70"/>
      <c r="E75" s="68"/>
      <c r="F75" s="69"/>
      <c r="G75" s="70"/>
      <c r="H75" s="68"/>
      <c r="I75" s="69"/>
      <c r="J75" s="70"/>
      <c r="K75" s="68"/>
      <c r="L75" s="69"/>
      <c r="M75" s="70"/>
      <c r="N75" s="68"/>
      <c r="O75" s="69"/>
      <c r="P75" s="70"/>
      <c r="Q75" s="68"/>
      <c r="R75" s="69"/>
      <c r="S75" s="70"/>
      <c r="T75" s="68"/>
      <c r="U75" s="69"/>
      <c r="V75" s="70"/>
      <c r="W75" s="68"/>
      <c r="X75" s="69"/>
      <c r="Y75" s="70"/>
      <c r="Z75" s="68"/>
      <c r="AA75" s="69"/>
      <c r="AB75" s="70"/>
      <c r="AC75" s="68"/>
      <c r="AD75" s="69"/>
      <c r="AE75" s="70"/>
      <c r="AF75" s="68"/>
      <c r="AG75" s="69"/>
      <c r="AH75" s="69"/>
      <c r="AI75" s="71"/>
      <c r="AJ75" s="69"/>
      <c r="AK75" s="70"/>
      <c r="AL75" s="68"/>
      <c r="AM75" s="69"/>
      <c r="AN75" s="70"/>
      <c r="AO75" s="68"/>
      <c r="AP75" s="69"/>
      <c r="AQ75" s="70"/>
      <c r="AR75" s="68"/>
      <c r="AS75" s="69"/>
      <c r="AT75" s="70"/>
      <c r="AU75" s="68"/>
      <c r="AV75" s="69"/>
      <c r="AW75" s="70"/>
      <c r="AX75" s="68"/>
      <c r="AY75" s="69"/>
      <c r="AZ75" s="70"/>
      <c r="BA75" s="68"/>
      <c r="BB75" s="69"/>
      <c r="BC75" s="70"/>
      <c r="BD75" s="68"/>
      <c r="BE75" s="69"/>
      <c r="BF75" s="70"/>
      <c r="BG75" s="68"/>
      <c r="BH75" s="69"/>
      <c r="BI75" s="70"/>
      <c r="BJ75" s="68"/>
      <c r="BK75" s="69"/>
      <c r="BL75" s="70"/>
      <c r="BM75" s="68"/>
      <c r="BN75" s="69"/>
      <c r="BO75" s="70"/>
      <c r="BP75" s="68"/>
      <c r="BQ75" s="69"/>
      <c r="BR75" s="70"/>
      <c r="BS75" s="68"/>
      <c r="BT75" s="69"/>
      <c r="BU75" s="70"/>
      <c r="BV75" s="68"/>
      <c r="BW75" s="69"/>
      <c r="BX75" s="70"/>
      <c r="BY75" s="68"/>
      <c r="BZ75" s="69"/>
      <c r="CA75" s="70"/>
      <c r="CB75" s="95"/>
      <c r="CC75" s="39" t="s">
        <v>25</v>
      </c>
      <c r="CD75" s="35"/>
      <c r="CE75" s="35"/>
      <c r="CF75" s="46">
        <f t="shared" si="1"/>
        <v>0</v>
      </c>
      <c r="CG75" s="46">
        <f t="shared" si="2"/>
        <v>0</v>
      </c>
      <c r="CH75" s="46">
        <f t="shared" si="0"/>
        <v>0</v>
      </c>
      <c r="CI75" s="46">
        <f t="shared" si="0"/>
        <v>0</v>
      </c>
      <c r="CJ75" s="35"/>
      <c r="CK75" s="35"/>
      <c r="CL75" s="35"/>
      <c r="CM75" s="35"/>
      <c r="CN75" s="35"/>
      <c r="CO75" s="35"/>
      <c r="CP75" s="35"/>
      <c r="CQ75" s="35"/>
    </row>
    <row r="76" spans="1:95" ht="20.100000000000001" customHeight="1" x14ac:dyDescent="0.25">
      <c r="A76" s="94"/>
      <c r="B76" s="73"/>
      <c r="C76" s="74"/>
      <c r="D76" s="75"/>
      <c r="E76" s="73"/>
      <c r="F76" s="74"/>
      <c r="G76" s="75"/>
      <c r="H76" s="73"/>
      <c r="I76" s="74"/>
      <c r="J76" s="75"/>
      <c r="K76" s="73"/>
      <c r="L76" s="74"/>
      <c r="M76" s="75"/>
      <c r="N76" s="73"/>
      <c r="O76" s="74"/>
      <c r="P76" s="75"/>
      <c r="Q76" s="73"/>
      <c r="R76" s="74"/>
      <c r="S76" s="75"/>
      <c r="T76" s="73"/>
      <c r="U76" s="74"/>
      <c r="V76" s="75"/>
      <c r="W76" s="73"/>
      <c r="X76" s="74"/>
      <c r="Y76" s="75"/>
      <c r="Z76" s="73"/>
      <c r="AA76" s="74"/>
      <c r="AB76" s="75"/>
      <c r="AC76" s="73"/>
      <c r="AD76" s="74"/>
      <c r="AE76" s="75"/>
      <c r="AF76" s="73"/>
      <c r="AG76" s="74"/>
      <c r="AH76" s="74"/>
      <c r="AI76" s="85"/>
      <c r="AJ76" s="74"/>
      <c r="AK76" s="75"/>
      <c r="AL76" s="73"/>
      <c r="AM76" s="74"/>
      <c r="AN76" s="75"/>
      <c r="AO76" s="73"/>
      <c r="AP76" s="74"/>
      <c r="AQ76" s="75"/>
      <c r="AR76" s="73"/>
      <c r="AS76" s="74"/>
      <c r="AT76" s="75"/>
      <c r="AU76" s="73"/>
      <c r="AV76" s="74"/>
      <c r="AW76" s="75"/>
      <c r="AX76" s="73"/>
      <c r="AY76" s="74"/>
      <c r="AZ76" s="75"/>
      <c r="BA76" s="73"/>
      <c r="BB76" s="74"/>
      <c r="BC76" s="75"/>
      <c r="BD76" s="73"/>
      <c r="BE76" s="74"/>
      <c r="BF76" s="75"/>
      <c r="BG76" s="73"/>
      <c r="BH76" s="74"/>
      <c r="BI76" s="75"/>
      <c r="BJ76" s="73"/>
      <c r="BK76" s="74"/>
      <c r="BL76" s="75"/>
      <c r="BM76" s="73"/>
      <c r="BN76" s="74"/>
      <c r="BO76" s="75"/>
      <c r="BP76" s="73"/>
      <c r="BQ76" s="74"/>
      <c r="BR76" s="75"/>
      <c r="BS76" s="73"/>
      <c r="BT76" s="74"/>
      <c r="BU76" s="75"/>
      <c r="BV76" s="73"/>
      <c r="BW76" s="74"/>
      <c r="BX76" s="75"/>
      <c r="BY76" s="73"/>
      <c r="BZ76" s="74"/>
      <c r="CA76" s="75"/>
      <c r="CB76" s="96"/>
      <c r="CC76" s="39" t="s">
        <v>21</v>
      </c>
      <c r="CD76" s="35"/>
      <c r="CE76" s="35"/>
      <c r="CF76" s="46">
        <f t="shared" si="1"/>
        <v>0</v>
      </c>
      <c r="CG76" s="46">
        <f t="shared" si="2"/>
        <v>0</v>
      </c>
      <c r="CH76" s="46">
        <f t="shared" si="0"/>
        <v>0</v>
      </c>
      <c r="CI76" s="46">
        <f t="shared" si="0"/>
        <v>0</v>
      </c>
      <c r="CJ76" s="35"/>
      <c r="CK76" s="35"/>
      <c r="CL76" s="35"/>
      <c r="CM76" s="35"/>
      <c r="CN76" s="35"/>
      <c r="CO76" s="35"/>
      <c r="CP76" s="35"/>
      <c r="CQ76" s="35"/>
    </row>
    <row r="77" spans="1:95" ht="19.5" customHeight="1" x14ac:dyDescent="0.25">
      <c r="A77" s="92"/>
      <c r="B77" s="63"/>
      <c r="C77" s="64"/>
      <c r="D77" s="65"/>
      <c r="E77" s="63"/>
      <c r="F77" s="64"/>
      <c r="G77" s="65"/>
      <c r="H77" s="63"/>
      <c r="I77" s="64"/>
      <c r="J77" s="65"/>
      <c r="K77" s="63"/>
      <c r="L77" s="64"/>
      <c r="M77" s="65"/>
      <c r="N77" s="63"/>
      <c r="O77" s="64"/>
      <c r="P77" s="65"/>
      <c r="Q77" s="63"/>
      <c r="R77" s="64"/>
      <c r="S77" s="65"/>
      <c r="T77" s="63"/>
      <c r="U77" s="64"/>
      <c r="V77" s="65"/>
      <c r="W77" s="63"/>
      <c r="X77" s="64"/>
      <c r="Y77" s="65"/>
      <c r="Z77" s="63"/>
      <c r="AA77" s="64"/>
      <c r="AB77" s="65"/>
      <c r="AC77" s="63"/>
      <c r="AD77" s="64"/>
      <c r="AE77" s="65"/>
      <c r="AF77" s="63"/>
      <c r="AG77" s="64"/>
      <c r="AH77" s="64"/>
      <c r="AI77" s="66"/>
      <c r="AJ77" s="64"/>
      <c r="AK77" s="65"/>
      <c r="AL77" s="63"/>
      <c r="AM77" s="64"/>
      <c r="AN77" s="65"/>
      <c r="AO77" s="63"/>
      <c r="AP77" s="64"/>
      <c r="AQ77" s="65"/>
      <c r="AR77" s="63"/>
      <c r="AS77" s="64"/>
      <c r="AT77" s="65"/>
      <c r="AU77" s="63"/>
      <c r="AV77" s="64"/>
      <c r="AW77" s="65"/>
      <c r="AX77" s="63"/>
      <c r="AY77" s="64"/>
      <c r="AZ77" s="65"/>
      <c r="BA77" s="63"/>
      <c r="BB77" s="64"/>
      <c r="BC77" s="65"/>
      <c r="BD77" s="63"/>
      <c r="BE77" s="64"/>
      <c r="BF77" s="65"/>
      <c r="BG77" s="63"/>
      <c r="BH77" s="64"/>
      <c r="BI77" s="65"/>
      <c r="BJ77" s="63"/>
      <c r="BK77" s="64"/>
      <c r="BL77" s="65"/>
      <c r="BM77" s="63"/>
      <c r="BN77" s="64"/>
      <c r="BO77" s="65"/>
      <c r="BP77" s="63"/>
      <c r="BQ77" s="64"/>
      <c r="BR77" s="65"/>
      <c r="BS77" s="63"/>
      <c r="BT77" s="64"/>
      <c r="BU77" s="65"/>
      <c r="BV77" s="63"/>
      <c r="BW77" s="64"/>
      <c r="BX77" s="65"/>
      <c r="BY77" s="63"/>
      <c r="BZ77" s="64"/>
      <c r="CA77" s="65"/>
      <c r="CB77" s="91"/>
      <c r="CC77" s="39" t="s">
        <v>42</v>
      </c>
      <c r="CD77" s="35"/>
      <c r="CE77" s="35"/>
      <c r="CF77" s="46">
        <f t="shared" si="1"/>
        <v>0</v>
      </c>
      <c r="CG77" s="46">
        <f t="shared" si="2"/>
        <v>0</v>
      </c>
      <c r="CH77" s="46">
        <f t="shared" si="0"/>
        <v>0</v>
      </c>
      <c r="CI77" s="46">
        <f t="shared" si="0"/>
        <v>0</v>
      </c>
      <c r="CJ77" s="35"/>
      <c r="CK77" s="35"/>
      <c r="CL77" s="35"/>
      <c r="CM77" s="35"/>
      <c r="CN77" s="35"/>
      <c r="CO77" s="35"/>
      <c r="CP77" s="35"/>
      <c r="CQ77" s="35"/>
    </row>
    <row r="78" spans="1:95" ht="19.5" customHeight="1" x14ac:dyDescent="0.25">
      <c r="A78" s="93"/>
      <c r="B78" s="68"/>
      <c r="C78" s="69"/>
      <c r="D78" s="70"/>
      <c r="E78" s="68"/>
      <c r="F78" s="69"/>
      <c r="G78" s="70"/>
      <c r="H78" s="68"/>
      <c r="I78" s="69"/>
      <c r="J78" s="70"/>
      <c r="K78" s="68"/>
      <c r="L78" s="69"/>
      <c r="M78" s="70"/>
      <c r="N78" s="68"/>
      <c r="O78" s="69"/>
      <c r="P78" s="70"/>
      <c r="Q78" s="68"/>
      <c r="R78" s="69"/>
      <c r="S78" s="70"/>
      <c r="T78" s="68"/>
      <c r="U78" s="69"/>
      <c r="V78" s="70"/>
      <c r="W78" s="68"/>
      <c r="X78" s="69"/>
      <c r="Y78" s="70"/>
      <c r="Z78" s="68"/>
      <c r="AA78" s="69"/>
      <c r="AB78" s="70"/>
      <c r="AC78" s="68"/>
      <c r="AD78" s="69"/>
      <c r="AE78" s="70"/>
      <c r="AF78" s="68"/>
      <c r="AG78" s="69"/>
      <c r="AH78" s="69"/>
      <c r="AI78" s="71"/>
      <c r="AJ78" s="69"/>
      <c r="AK78" s="70"/>
      <c r="AL78" s="68"/>
      <c r="AM78" s="69"/>
      <c r="AN78" s="70"/>
      <c r="AO78" s="68"/>
      <c r="AP78" s="69"/>
      <c r="AQ78" s="70"/>
      <c r="AR78" s="68"/>
      <c r="AS78" s="69"/>
      <c r="AT78" s="70"/>
      <c r="AU78" s="68"/>
      <c r="AV78" s="69"/>
      <c r="AW78" s="70"/>
      <c r="AX78" s="68"/>
      <c r="AY78" s="69"/>
      <c r="AZ78" s="70"/>
      <c r="BA78" s="68"/>
      <c r="BB78" s="69"/>
      <c r="BC78" s="70"/>
      <c r="BD78" s="68"/>
      <c r="BE78" s="69"/>
      <c r="BF78" s="70"/>
      <c r="BG78" s="68"/>
      <c r="BH78" s="69"/>
      <c r="BI78" s="70"/>
      <c r="BJ78" s="68"/>
      <c r="BK78" s="69"/>
      <c r="BL78" s="70"/>
      <c r="BM78" s="68"/>
      <c r="BN78" s="69"/>
      <c r="BO78" s="70"/>
      <c r="BP78" s="68"/>
      <c r="BQ78" s="69"/>
      <c r="BR78" s="70"/>
      <c r="BS78" s="68"/>
      <c r="BT78" s="69"/>
      <c r="BU78" s="70"/>
      <c r="BV78" s="68"/>
      <c r="BW78" s="69"/>
      <c r="BX78" s="70"/>
      <c r="BY78" s="68"/>
      <c r="BZ78" s="69"/>
      <c r="CA78" s="70"/>
      <c r="CB78" s="95"/>
      <c r="CC78" s="39" t="s">
        <v>22</v>
      </c>
      <c r="CD78" s="35"/>
      <c r="CE78" s="35"/>
      <c r="CF78" s="46">
        <f t="shared" si="1"/>
        <v>0</v>
      </c>
      <c r="CG78" s="46">
        <f t="shared" si="2"/>
        <v>0</v>
      </c>
      <c r="CH78" s="46">
        <f t="shared" si="0"/>
        <v>0</v>
      </c>
      <c r="CI78" s="46">
        <f t="shared" si="0"/>
        <v>0</v>
      </c>
      <c r="CJ78" s="35"/>
      <c r="CK78" s="35"/>
      <c r="CL78" s="35"/>
      <c r="CM78" s="35"/>
      <c r="CN78" s="35"/>
      <c r="CO78" s="35"/>
      <c r="CP78" s="35"/>
      <c r="CQ78" s="35"/>
    </row>
    <row r="79" spans="1:95" ht="20.100000000000001" customHeight="1" x14ac:dyDescent="0.25">
      <c r="A79" s="94"/>
      <c r="B79" s="73"/>
      <c r="C79" s="74"/>
      <c r="D79" s="75"/>
      <c r="E79" s="73"/>
      <c r="F79" s="74"/>
      <c r="G79" s="75"/>
      <c r="H79" s="73"/>
      <c r="I79" s="74"/>
      <c r="J79" s="75"/>
      <c r="K79" s="73"/>
      <c r="L79" s="74"/>
      <c r="M79" s="75"/>
      <c r="N79" s="73"/>
      <c r="O79" s="74"/>
      <c r="P79" s="75"/>
      <c r="Q79" s="73"/>
      <c r="R79" s="74"/>
      <c r="S79" s="75"/>
      <c r="T79" s="73"/>
      <c r="U79" s="74"/>
      <c r="V79" s="75"/>
      <c r="W79" s="73"/>
      <c r="X79" s="74"/>
      <c r="Y79" s="75"/>
      <c r="Z79" s="73"/>
      <c r="AA79" s="74"/>
      <c r="AB79" s="75"/>
      <c r="AC79" s="73"/>
      <c r="AD79" s="74"/>
      <c r="AE79" s="75"/>
      <c r="AF79" s="73"/>
      <c r="AG79" s="74"/>
      <c r="AH79" s="74"/>
      <c r="AI79" s="85"/>
      <c r="AJ79" s="74"/>
      <c r="AK79" s="75"/>
      <c r="AL79" s="73"/>
      <c r="AM79" s="74"/>
      <c r="AN79" s="75"/>
      <c r="AO79" s="73"/>
      <c r="AP79" s="74"/>
      <c r="AQ79" s="75"/>
      <c r="AR79" s="73"/>
      <c r="AS79" s="74"/>
      <c r="AT79" s="75"/>
      <c r="AU79" s="73"/>
      <c r="AV79" s="74"/>
      <c r="AW79" s="75"/>
      <c r="AX79" s="73"/>
      <c r="AY79" s="74"/>
      <c r="AZ79" s="75"/>
      <c r="BA79" s="73"/>
      <c r="BB79" s="74"/>
      <c r="BC79" s="75"/>
      <c r="BD79" s="73"/>
      <c r="BE79" s="74"/>
      <c r="BF79" s="75"/>
      <c r="BG79" s="73"/>
      <c r="BH79" s="74"/>
      <c r="BI79" s="75"/>
      <c r="BJ79" s="73"/>
      <c r="BK79" s="74"/>
      <c r="BL79" s="75"/>
      <c r="BM79" s="73"/>
      <c r="BN79" s="74"/>
      <c r="BO79" s="75"/>
      <c r="BP79" s="73"/>
      <c r="BQ79" s="74"/>
      <c r="BR79" s="75"/>
      <c r="BS79" s="73"/>
      <c r="BT79" s="74"/>
      <c r="BU79" s="75"/>
      <c r="BV79" s="73"/>
      <c r="BW79" s="74"/>
      <c r="BX79" s="75"/>
      <c r="BY79" s="73"/>
      <c r="BZ79" s="74"/>
      <c r="CA79" s="75"/>
      <c r="CB79" s="96"/>
      <c r="CC79" s="39" t="s">
        <v>19</v>
      </c>
      <c r="CD79" s="35"/>
      <c r="CE79" s="35"/>
      <c r="CF79" s="46">
        <f t="shared" si="1"/>
        <v>0</v>
      </c>
      <c r="CG79" s="46">
        <f t="shared" si="2"/>
        <v>0</v>
      </c>
      <c r="CH79" s="46">
        <f t="shared" si="0"/>
        <v>0</v>
      </c>
      <c r="CI79" s="46">
        <f t="shared" si="0"/>
        <v>0</v>
      </c>
      <c r="CJ79" s="35"/>
      <c r="CK79" s="35"/>
      <c r="CL79" s="35"/>
      <c r="CM79" s="35"/>
      <c r="CN79" s="35"/>
      <c r="CO79" s="35"/>
      <c r="CP79" s="35"/>
      <c r="CQ79" s="35"/>
    </row>
    <row r="80" spans="1:95" ht="34.5" customHeight="1" x14ac:dyDescent="0.25">
      <c r="B80" s="104"/>
      <c r="C80" s="105"/>
      <c r="D80" s="96"/>
      <c r="E80" s="104"/>
      <c r="F80" s="105"/>
      <c r="G80" s="96"/>
      <c r="H80" s="104"/>
      <c r="I80" s="105"/>
      <c r="J80" s="96"/>
      <c r="K80" s="104"/>
      <c r="L80" s="105"/>
      <c r="M80" s="96"/>
      <c r="N80" s="104"/>
      <c r="O80" s="105"/>
      <c r="P80" s="96"/>
      <c r="Q80" s="104"/>
      <c r="R80" s="105"/>
      <c r="S80" s="96"/>
      <c r="T80" s="104"/>
      <c r="U80" s="105"/>
      <c r="V80" s="96"/>
      <c r="W80" s="104"/>
      <c r="X80" s="105"/>
      <c r="Y80" s="96"/>
      <c r="Z80" s="104"/>
      <c r="AA80" s="105"/>
      <c r="AB80" s="96"/>
      <c r="AC80" s="104"/>
      <c r="AD80" s="105"/>
      <c r="AE80" s="96"/>
      <c r="AF80" s="104"/>
      <c r="AG80" s="105"/>
      <c r="AH80" s="96"/>
      <c r="AI80" s="104"/>
      <c r="AJ80" s="105"/>
      <c r="AK80" s="96"/>
      <c r="AL80" s="104"/>
      <c r="AM80" s="105"/>
      <c r="AN80" s="96"/>
      <c r="AO80" s="104"/>
      <c r="AP80" s="105"/>
      <c r="AQ80" s="96"/>
      <c r="AR80" s="104"/>
      <c r="AS80" s="105"/>
      <c r="AT80" s="96"/>
      <c r="AU80" s="104"/>
      <c r="AV80" s="105"/>
      <c r="AW80" s="96"/>
      <c r="AX80" s="104"/>
      <c r="AY80" s="105"/>
      <c r="AZ80" s="96"/>
      <c r="BA80" s="104"/>
      <c r="BB80" s="105"/>
      <c r="BC80" s="96"/>
      <c r="BD80" s="104"/>
      <c r="BE80" s="105"/>
      <c r="BF80" s="96"/>
      <c r="BG80" s="104"/>
      <c r="BH80" s="105"/>
      <c r="BI80" s="96"/>
      <c r="BJ80" s="104"/>
      <c r="BK80" s="105"/>
      <c r="BL80" s="96"/>
      <c r="BM80" s="104"/>
      <c r="BN80" s="105"/>
      <c r="BO80" s="96"/>
      <c r="BP80" s="104"/>
      <c r="BQ80" s="105"/>
      <c r="BR80" s="96"/>
      <c r="BS80" s="104"/>
      <c r="BT80" s="105"/>
      <c r="BU80" s="96"/>
      <c r="BV80" s="104"/>
      <c r="BW80" s="105"/>
      <c r="BX80" s="96"/>
      <c r="BY80" s="104"/>
      <c r="BZ80" s="105"/>
      <c r="CA80" s="96"/>
      <c r="CC80" s="35"/>
      <c r="CD80" s="35"/>
      <c r="CE80" s="35"/>
      <c r="CF80" s="35"/>
      <c r="CG80" s="35"/>
      <c r="CH80" s="35"/>
      <c r="CI80" s="35"/>
      <c r="CJ80" s="35"/>
      <c r="CK80" s="35"/>
      <c r="CL80" s="35"/>
      <c r="CM80" s="35"/>
      <c r="CN80" s="35"/>
      <c r="CO80" s="35"/>
      <c r="CP80" s="35"/>
      <c r="CQ80" s="35"/>
    </row>
    <row r="81" spans="1:95" hidden="1" x14ac:dyDescent="0.25">
      <c r="A81" s="43"/>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c r="BJ81" s="35"/>
      <c r="BK81" s="35"/>
      <c r="BL81" s="35"/>
      <c r="BM81" s="35"/>
      <c r="BN81" s="35"/>
      <c r="BO81" s="35"/>
      <c r="BP81" s="35"/>
      <c r="BQ81" s="35"/>
      <c r="BR81" s="35"/>
      <c r="BS81" s="35"/>
      <c r="BT81" s="35"/>
      <c r="BU81" s="35"/>
      <c r="BV81" s="35"/>
      <c r="BW81" s="35"/>
      <c r="BX81" s="35"/>
      <c r="BY81" s="35"/>
      <c r="BZ81" s="35"/>
      <c r="CA81" s="35"/>
      <c r="CB81" s="43"/>
      <c r="CC81" s="35"/>
      <c r="CD81" s="35"/>
      <c r="CE81" s="35"/>
      <c r="CF81" s="35"/>
      <c r="CG81" s="35"/>
      <c r="CH81" s="35"/>
      <c r="CI81" s="35"/>
      <c r="CJ81" s="35"/>
      <c r="CK81" s="35"/>
      <c r="CL81" s="35"/>
      <c r="CM81" s="35"/>
      <c r="CN81" s="35"/>
      <c r="CO81" s="35"/>
      <c r="CP81" s="35"/>
      <c r="CQ81" s="35"/>
    </row>
    <row r="82" spans="1:95" hidden="1" x14ac:dyDescent="0.25">
      <c r="A82" s="43"/>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35"/>
      <c r="AS82" s="35"/>
      <c r="AT82" s="35"/>
      <c r="AU82" s="35"/>
      <c r="AV82" s="35"/>
      <c r="AW82" s="35"/>
      <c r="AX82" s="35"/>
      <c r="AY82" s="35"/>
      <c r="AZ82" s="35"/>
      <c r="BA82" s="35"/>
      <c r="BB82" s="35"/>
      <c r="BC82" s="35"/>
      <c r="BD82" s="35"/>
      <c r="BE82" s="35"/>
      <c r="BF82" s="35"/>
      <c r="BG82" s="35"/>
      <c r="BH82" s="35"/>
      <c r="BI82" s="35"/>
      <c r="BJ82" s="35"/>
      <c r="BK82" s="35"/>
      <c r="BL82" s="35"/>
      <c r="BM82" s="35"/>
      <c r="BN82" s="35"/>
      <c r="BO82" s="35"/>
      <c r="BP82" s="35"/>
      <c r="BQ82" s="35"/>
      <c r="BR82" s="35"/>
      <c r="BS82" s="35"/>
      <c r="BT82" s="35"/>
      <c r="BU82" s="35"/>
      <c r="BV82" s="35"/>
      <c r="BW82" s="35"/>
      <c r="BX82" s="35"/>
      <c r="BY82" s="35"/>
      <c r="BZ82" s="35"/>
      <c r="CA82" s="35"/>
      <c r="CB82" s="43"/>
      <c r="CC82" s="35"/>
      <c r="CD82" s="35"/>
      <c r="CE82" s="35"/>
      <c r="CF82" s="35"/>
      <c r="CG82" s="35"/>
      <c r="CH82" s="35"/>
      <c r="CI82" s="35"/>
      <c r="CJ82" s="35"/>
      <c r="CK82" s="35"/>
      <c r="CL82" s="35"/>
      <c r="CM82" s="35"/>
      <c r="CN82" s="35"/>
      <c r="CO82" s="35"/>
      <c r="CP82" s="35"/>
      <c r="CQ82" s="35"/>
    </row>
    <row r="83" spans="1:95" hidden="1" x14ac:dyDescent="0.25">
      <c r="A83" s="43">
        <v>1</v>
      </c>
      <c r="B83" s="47">
        <f>C3</f>
        <v>0</v>
      </c>
      <c r="C83" s="48">
        <f>F3</f>
        <v>0</v>
      </c>
      <c r="D83" s="48">
        <f>I3</f>
        <v>0</v>
      </c>
      <c r="E83" s="48">
        <f>L3</f>
        <v>0</v>
      </c>
      <c r="F83" s="48">
        <f>O3</f>
        <v>0</v>
      </c>
      <c r="G83" s="48">
        <f>R3</f>
        <v>0</v>
      </c>
      <c r="H83" s="49">
        <f>U3</f>
        <v>0</v>
      </c>
      <c r="I83" s="47">
        <f>C6</f>
        <v>0</v>
      </c>
      <c r="J83" s="48">
        <f>F6</f>
        <v>0</v>
      </c>
      <c r="K83" s="48">
        <f>I6</f>
        <v>0</v>
      </c>
      <c r="L83" s="48">
        <f>L6</f>
        <v>0</v>
      </c>
      <c r="M83" s="48">
        <f>O6</f>
        <v>0</v>
      </c>
      <c r="N83" s="48">
        <f>R6</f>
        <v>0</v>
      </c>
      <c r="O83" s="48">
        <f>U6</f>
        <v>0</v>
      </c>
      <c r="P83" s="49">
        <f>X6</f>
        <v>0</v>
      </c>
      <c r="Q83" s="47">
        <f>C9</f>
        <v>0</v>
      </c>
      <c r="R83" s="48">
        <f>F9</f>
        <v>0</v>
      </c>
      <c r="S83" s="48">
        <f>I9</f>
        <v>0</v>
      </c>
      <c r="T83" s="48">
        <f>L9</f>
        <v>0</v>
      </c>
      <c r="U83" s="48">
        <f>O9</f>
        <v>0</v>
      </c>
      <c r="V83" s="48">
        <f>R9</f>
        <v>0</v>
      </c>
      <c r="W83" s="48">
        <f>U9</f>
        <v>0</v>
      </c>
      <c r="X83" s="49">
        <f>X9</f>
        <v>0</v>
      </c>
      <c r="Y83" s="47">
        <f>C12</f>
        <v>0</v>
      </c>
      <c r="Z83" s="48">
        <f>F12</f>
        <v>0</v>
      </c>
      <c r="AA83" s="48">
        <f>I12</f>
        <v>0</v>
      </c>
      <c r="AB83" s="48">
        <f>L12</f>
        <v>0</v>
      </c>
      <c r="AC83" s="48">
        <f>O12</f>
        <v>0</v>
      </c>
      <c r="AD83" s="48">
        <f>R12</f>
        <v>0</v>
      </c>
      <c r="AE83" s="48">
        <f>U12</f>
        <v>0</v>
      </c>
      <c r="AF83" s="49">
        <f>X12</f>
        <v>0</v>
      </c>
      <c r="AG83" s="47">
        <f>C15</f>
        <v>0</v>
      </c>
      <c r="AH83" s="48">
        <f>F15</f>
        <v>0</v>
      </c>
      <c r="AI83" s="48">
        <f>I15</f>
        <v>0</v>
      </c>
      <c r="AJ83" s="48">
        <f>L15</f>
        <v>0</v>
      </c>
      <c r="AK83" s="48">
        <f>O15</f>
        <v>0</v>
      </c>
      <c r="AL83" s="48">
        <f>R15</f>
        <v>0</v>
      </c>
      <c r="AM83" s="48">
        <f>U15</f>
        <v>0</v>
      </c>
      <c r="AN83" s="49">
        <f>X15</f>
        <v>0</v>
      </c>
      <c r="AO83" s="47">
        <f>C18</f>
        <v>0</v>
      </c>
      <c r="AP83" s="48">
        <f>F18</f>
        <v>0</v>
      </c>
      <c r="AQ83" s="48">
        <f>I18</f>
        <v>0</v>
      </c>
      <c r="AR83" s="48">
        <f>L18</f>
        <v>0</v>
      </c>
      <c r="AS83" s="48">
        <f>O18</f>
        <v>0</v>
      </c>
      <c r="AT83" s="48">
        <f>R18</f>
        <v>0</v>
      </c>
      <c r="AU83" s="48">
        <f>U18</f>
        <v>0</v>
      </c>
      <c r="AV83" s="49">
        <f>X18</f>
        <v>0</v>
      </c>
      <c r="AW83" s="47">
        <f>C21</f>
        <v>0</v>
      </c>
      <c r="AX83" s="48">
        <f>F21</f>
        <v>0</v>
      </c>
      <c r="AY83" s="48">
        <f>I21</f>
        <v>0</v>
      </c>
      <c r="AZ83" s="48">
        <f>L21</f>
        <v>0</v>
      </c>
      <c r="BA83" s="48">
        <f>O21</f>
        <v>0</v>
      </c>
      <c r="BB83" s="48">
        <f>R21</f>
        <v>0</v>
      </c>
      <c r="BC83" s="48">
        <f>U21</f>
        <v>0</v>
      </c>
      <c r="BD83" s="49">
        <f>X21</f>
        <v>0</v>
      </c>
      <c r="BE83" s="47">
        <f>C24</f>
        <v>0</v>
      </c>
      <c r="BF83" s="48">
        <f>F24</f>
        <v>0</v>
      </c>
      <c r="BG83" s="48">
        <f>I24</f>
        <v>0</v>
      </c>
      <c r="BH83" s="48">
        <f>L24</f>
        <v>0</v>
      </c>
      <c r="BI83" s="48">
        <f>O24</f>
        <v>0</v>
      </c>
      <c r="BJ83" s="48">
        <f>R24</f>
        <v>0</v>
      </c>
      <c r="BK83" s="49">
        <f>U24</f>
        <v>0</v>
      </c>
      <c r="BL83" s="47">
        <f>C27</f>
        <v>0</v>
      </c>
      <c r="BM83" s="48">
        <f>F27</f>
        <v>0</v>
      </c>
      <c r="BN83" s="49">
        <f>I27</f>
        <v>0</v>
      </c>
      <c r="BO83" s="50">
        <f>C30</f>
        <v>0</v>
      </c>
      <c r="BP83" s="35"/>
      <c r="BQ83" s="35"/>
      <c r="BR83" s="35"/>
      <c r="BS83" s="35"/>
      <c r="BT83" s="51"/>
      <c r="BU83" s="35"/>
      <c r="BV83" s="35"/>
      <c r="BW83" s="35"/>
      <c r="BX83" s="35"/>
      <c r="BY83" s="35"/>
      <c r="BZ83" s="35"/>
      <c r="CA83" s="35"/>
      <c r="CB83" s="43"/>
      <c r="CC83" s="35"/>
      <c r="CD83" s="35"/>
      <c r="CE83" s="35"/>
      <c r="CF83" s="35"/>
      <c r="CG83" s="35"/>
      <c r="CH83" s="35"/>
      <c r="CI83" s="35"/>
      <c r="CJ83" s="35"/>
      <c r="CK83" s="35"/>
      <c r="CL83" s="35"/>
      <c r="CM83" s="35"/>
      <c r="CN83" s="35"/>
      <c r="CO83" s="35"/>
      <c r="CP83" s="35"/>
      <c r="CQ83" s="35"/>
    </row>
    <row r="84" spans="1:95" hidden="1" x14ac:dyDescent="0.25">
      <c r="A84" s="43">
        <v>2</v>
      </c>
      <c r="B84" s="47">
        <f>X3</f>
        <v>0</v>
      </c>
      <c r="C84" s="48">
        <f>AA3</f>
        <v>0</v>
      </c>
      <c r="D84" s="48">
        <f>AD3</f>
        <v>0</v>
      </c>
      <c r="E84" s="48">
        <f>AG3</f>
        <v>0</v>
      </c>
      <c r="F84" s="48">
        <f>AJ3</f>
        <v>0</v>
      </c>
      <c r="G84" s="48">
        <f>AM3</f>
        <v>0</v>
      </c>
      <c r="H84" s="48">
        <f>AP3</f>
        <v>0</v>
      </c>
      <c r="I84" s="48">
        <f>AS3</f>
        <v>0</v>
      </c>
      <c r="J84" s="48">
        <f>AV3</f>
        <v>0</v>
      </c>
      <c r="K84" s="48">
        <f>AY3</f>
        <v>0</v>
      </c>
      <c r="L84" s="48">
        <f>BB3</f>
        <v>0</v>
      </c>
      <c r="M84" s="49">
        <f>BE3</f>
        <v>0</v>
      </c>
      <c r="N84" s="47">
        <f>AA6</f>
        <v>0</v>
      </c>
      <c r="O84" s="48">
        <f>AD6</f>
        <v>0</v>
      </c>
      <c r="P84" s="48">
        <f>AG6</f>
        <v>0</v>
      </c>
      <c r="Q84" s="48">
        <f>AJ6</f>
        <v>0</v>
      </c>
      <c r="R84" s="48">
        <f>AM6</f>
        <v>0</v>
      </c>
      <c r="S84" s="48">
        <f>AP6</f>
        <v>0</v>
      </c>
      <c r="T84" s="48">
        <f>AS6</f>
        <v>0</v>
      </c>
      <c r="U84" s="48">
        <f>AV6</f>
        <v>0</v>
      </c>
      <c r="V84" s="48">
        <f>AY6</f>
        <v>0</v>
      </c>
      <c r="W84" s="49">
        <f>BB6</f>
        <v>0</v>
      </c>
      <c r="X84" s="47">
        <f>AA9</f>
        <v>0</v>
      </c>
      <c r="Y84" s="48">
        <f>AD9</f>
        <v>0</v>
      </c>
      <c r="Z84" s="48">
        <f>AG9</f>
        <v>0</v>
      </c>
      <c r="AA84" s="48">
        <f>AJ9</f>
        <v>0</v>
      </c>
      <c r="AB84" s="48">
        <f>AM9</f>
        <v>0</v>
      </c>
      <c r="AC84" s="48">
        <f>AP9</f>
        <v>0</v>
      </c>
      <c r="AD84" s="48">
        <f>AS9</f>
        <v>0</v>
      </c>
      <c r="AE84" s="48">
        <f>AV9</f>
        <v>0</v>
      </c>
      <c r="AF84" s="48">
        <f>AY9</f>
        <v>0</v>
      </c>
      <c r="AG84" s="49">
        <f>BB9</f>
        <v>0</v>
      </c>
      <c r="AH84" s="47">
        <f>AA12</f>
        <v>0</v>
      </c>
      <c r="AI84" s="48">
        <f>AD12</f>
        <v>0</v>
      </c>
      <c r="AJ84" s="48">
        <f>AG12</f>
        <v>0</v>
      </c>
      <c r="AK84" s="48">
        <f>AJ12</f>
        <v>0</v>
      </c>
      <c r="AL84" s="48">
        <f>AM12</f>
        <v>0</v>
      </c>
      <c r="AM84" s="48">
        <f>AP12</f>
        <v>0</v>
      </c>
      <c r="AN84" s="48">
        <f>AS12</f>
        <v>0</v>
      </c>
      <c r="AO84" s="48">
        <f>AV12</f>
        <v>0</v>
      </c>
      <c r="AP84" s="48">
        <f>AY12</f>
        <v>0</v>
      </c>
      <c r="AQ84" s="49">
        <f>BB12</f>
        <v>0</v>
      </c>
      <c r="AR84" s="47">
        <f>AA15</f>
        <v>0</v>
      </c>
      <c r="AS84" s="48">
        <f>AD15</f>
        <v>0</v>
      </c>
      <c r="AT84" s="48">
        <f>AG15</f>
        <v>0</v>
      </c>
      <c r="AU84" s="48">
        <f>AJ15</f>
        <v>0</v>
      </c>
      <c r="AV84" s="48">
        <f>AM15</f>
        <v>0</v>
      </c>
      <c r="AW84" s="48">
        <f>AP15</f>
        <v>0</v>
      </c>
      <c r="AX84" s="48">
        <f>AS15</f>
        <v>0</v>
      </c>
      <c r="AY84" s="48">
        <f>AV15</f>
        <v>0</v>
      </c>
      <c r="AZ84" s="48">
        <f>AY15</f>
        <v>0</v>
      </c>
      <c r="BA84" s="49">
        <f>BB15</f>
        <v>0</v>
      </c>
      <c r="BB84" s="47">
        <f>AA18</f>
        <v>0</v>
      </c>
      <c r="BC84" s="48">
        <f>AD18</f>
        <v>0</v>
      </c>
      <c r="BD84" s="48">
        <f>AG18</f>
        <v>0</v>
      </c>
      <c r="BE84" s="48">
        <f>AJ18</f>
        <v>0</v>
      </c>
      <c r="BF84" s="48">
        <f>AM18</f>
        <v>0</v>
      </c>
      <c r="BG84" s="48">
        <f>AP18</f>
        <v>0</v>
      </c>
      <c r="BH84" s="48">
        <f>AS18</f>
        <v>0</v>
      </c>
      <c r="BI84" s="48">
        <f>AV18</f>
        <v>0</v>
      </c>
      <c r="BJ84" s="48">
        <f>AY18</f>
        <v>0</v>
      </c>
      <c r="BK84" s="49">
        <f>BB18</f>
        <v>0</v>
      </c>
      <c r="BL84" s="47">
        <f>AM21</f>
        <v>0</v>
      </c>
      <c r="BM84" s="48">
        <f>AP21</f>
        <v>0</v>
      </c>
      <c r="BN84" s="48">
        <f>AS21</f>
        <v>0</v>
      </c>
      <c r="BO84" s="48">
        <f>AV21</f>
        <v>0</v>
      </c>
      <c r="BP84" s="49">
        <f>AY21</f>
        <v>0</v>
      </c>
      <c r="BQ84" s="35"/>
      <c r="BR84" s="35"/>
      <c r="BS84" s="35"/>
      <c r="BT84" s="35"/>
      <c r="BU84" s="35"/>
      <c r="BV84" s="35"/>
      <c r="BW84" s="35"/>
      <c r="BX84" s="35"/>
      <c r="BY84" s="35"/>
      <c r="BZ84" s="35"/>
      <c r="CA84" s="35"/>
      <c r="CB84" s="43"/>
      <c r="CC84" s="35"/>
      <c r="CD84" s="35"/>
      <c r="CE84" s="35"/>
      <c r="CF84" s="35"/>
      <c r="CG84" s="35"/>
      <c r="CH84" s="35"/>
      <c r="CI84" s="35"/>
      <c r="CJ84" s="35"/>
      <c r="CK84" s="35"/>
      <c r="CL84" s="35"/>
      <c r="CM84" s="35"/>
      <c r="CN84" s="35"/>
      <c r="CO84" s="35"/>
      <c r="CP84" s="35"/>
      <c r="CQ84" s="35"/>
    </row>
    <row r="85" spans="1:95" hidden="1" x14ac:dyDescent="0.25">
      <c r="A85" s="43">
        <v>3</v>
      </c>
      <c r="B85" s="47">
        <f>BH3</f>
        <v>0</v>
      </c>
      <c r="C85" s="48">
        <f>BK3</f>
        <v>0</v>
      </c>
      <c r="D85" s="48">
        <f>BN3</f>
        <v>0</v>
      </c>
      <c r="E85" s="48">
        <f>BQ3</f>
        <v>0</v>
      </c>
      <c r="F85" s="48">
        <f>BT3</f>
        <v>0</v>
      </c>
      <c r="G85" s="48">
        <f>BW3</f>
        <v>0</v>
      </c>
      <c r="H85" s="49">
        <f>BZ3</f>
        <v>0</v>
      </c>
      <c r="I85" s="47">
        <f>BE6</f>
        <v>0</v>
      </c>
      <c r="J85" s="48">
        <f>BH6</f>
        <v>0</v>
      </c>
      <c r="K85" s="48">
        <f>BK6</f>
        <v>0</v>
      </c>
      <c r="L85" s="48">
        <f>BN6</f>
        <v>0</v>
      </c>
      <c r="M85" s="48">
        <f>BQ6</f>
        <v>0</v>
      </c>
      <c r="N85" s="48">
        <f>BT6</f>
        <v>0</v>
      </c>
      <c r="O85" s="48">
        <f>BW6</f>
        <v>0</v>
      </c>
      <c r="P85" s="49">
        <f>BZ6</f>
        <v>0</v>
      </c>
      <c r="Q85" s="47">
        <f>BE9</f>
        <v>0</v>
      </c>
      <c r="R85" s="48">
        <f>BH9</f>
        <v>0</v>
      </c>
      <c r="S85" s="48">
        <f>BK9</f>
        <v>0</v>
      </c>
      <c r="T85" s="48">
        <f>BN9</f>
        <v>0</v>
      </c>
      <c r="U85" s="48">
        <f>BQ9</f>
        <v>0</v>
      </c>
      <c r="V85" s="48">
        <f>BT9</f>
        <v>0</v>
      </c>
      <c r="W85" s="48">
        <f>BW9</f>
        <v>0</v>
      </c>
      <c r="X85" s="49">
        <f>BZ9</f>
        <v>0</v>
      </c>
      <c r="Y85" s="47">
        <f>BE12</f>
        <v>0</v>
      </c>
      <c r="Z85" s="48">
        <f>BH12</f>
        <v>0</v>
      </c>
      <c r="AA85" s="48">
        <f>BK12</f>
        <v>0</v>
      </c>
      <c r="AB85" s="48">
        <f>BN12</f>
        <v>0</v>
      </c>
      <c r="AC85" s="48">
        <f>BQ12</f>
        <v>0</v>
      </c>
      <c r="AD85" s="48">
        <f>BT12</f>
        <v>0</v>
      </c>
      <c r="AE85" s="48">
        <f>BW12</f>
        <v>0</v>
      </c>
      <c r="AF85" s="49">
        <f>BZ12</f>
        <v>0</v>
      </c>
      <c r="AG85" s="47">
        <f>BE15</f>
        <v>0</v>
      </c>
      <c r="AH85" s="48">
        <f>BH15</f>
        <v>0</v>
      </c>
      <c r="AI85" s="48">
        <f>BK15</f>
        <v>0</v>
      </c>
      <c r="AJ85" s="48">
        <f>BN15</f>
        <v>0</v>
      </c>
      <c r="AK85" s="48">
        <f>BQ15</f>
        <v>0</v>
      </c>
      <c r="AL85" s="48">
        <f>BT15</f>
        <v>0</v>
      </c>
      <c r="AM85" s="48">
        <f>BW15</f>
        <v>0</v>
      </c>
      <c r="AN85" s="49">
        <f>BZ15</f>
        <v>0</v>
      </c>
      <c r="AO85" s="47">
        <f>BE18</f>
        <v>0</v>
      </c>
      <c r="AP85" s="48">
        <f>BH18</f>
        <v>0</v>
      </c>
      <c r="AQ85" s="48">
        <f>BK18</f>
        <v>0</v>
      </c>
      <c r="AR85" s="48">
        <f>BN18</f>
        <v>0</v>
      </c>
      <c r="AS85" s="48">
        <f>BQ18</f>
        <v>0</v>
      </c>
      <c r="AT85" s="48">
        <f>BT18</f>
        <v>0</v>
      </c>
      <c r="AU85" s="48">
        <f>BW18</f>
        <v>0</v>
      </c>
      <c r="AV85" s="49">
        <f>BZ18</f>
        <v>0</v>
      </c>
      <c r="AW85" s="47">
        <f>BE21</f>
        <v>0</v>
      </c>
      <c r="AX85" s="48">
        <f>BH21</f>
        <v>0</v>
      </c>
      <c r="AY85" s="48">
        <f>BK21</f>
        <v>0</v>
      </c>
      <c r="AZ85" s="48">
        <f>BN21</f>
        <v>0</v>
      </c>
      <c r="BA85" s="48">
        <f>BQ21</f>
        <v>0</v>
      </c>
      <c r="BB85" s="48">
        <f>BT21</f>
        <v>0</v>
      </c>
      <c r="BC85" s="48">
        <f>BW21</f>
        <v>0</v>
      </c>
      <c r="BD85" s="49">
        <f>BZ21</f>
        <v>0</v>
      </c>
      <c r="BE85" s="47">
        <f>BW24</f>
        <v>0</v>
      </c>
      <c r="BF85" s="49">
        <f>BZ24</f>
        <v>0</v>
      </c>
      <c r="BG85" s="50">
        <f>BZ27</f>
        <v>0</v>
      </c>
      <c r="BH85" s="50">
        <f>BZ30</f>
        <v>0</v>
      </c>
      <c r="BI85" s="50">
        <f>BZ33</f>
        <v>0</v>
      </c>
      <c r="BJ85" s="35"/>
      <c r="BK85" s="35"/>
      <c r="BL85" s="35"/>
      <c r="BM85" s="35"/>
      <c r="BN85" s="35"/>
      <c r="BO85" s="35"/>
      <c r="BP85" s="35"/>
      <c r="BQ85" s="35"/>
      <c r="BR85" s="35"/>
      <c r="BS85" s="35"/>
      <c r="BT85" s="35"/>
      <c r="BU85" s="35"/>
      <c r="BV85" s="35"/>
      <c r="BW85" s="35"/>
      <c r="BX85" s="35"/>
      <c r="BY85" s="35"/>
      <c r="BZ85" s="35"/>
      <c r="CA85" s="35"/>
      <c r="CB85" s="43"/>
      <c r="CC85" s="35"/>
      <c r="CD85" s="35"/>
      <c r="CE85" s="35"/>
      <c r="CF85" s="35"/>
      <c r="CG85" s="35"/>
      <c r="CH85" s="35"/>
      <c r="CI85" s="35"/>
      <c r="CJ85" s="35"/>
      <c r="CK85" s="35"/>
      <c r="CL85" s="35"/>
      <c r="CM85" s="35"/>
      <c r="CN85" s="35"/>
      <c r="CO85" s="35"/>
      <c r="CP85" s="35"/>
      <c r="CQ85" s="35"/>
    </row>
    <row r="86" spans="1:95" hidden="1" x14ac:dyDescent="0.25">
      <c r="A86" s="43">
        <v>4</v>
      </c>
      <c r="B86" s="52">
        <f>L27</f>
        <v>0</v>
      </c>
      <c r="C86" s="53">
        <f>O27</f>
        <v>0</v>
      </c>
      <c r="D86" s="53">
        <f>R27</f>
        <v>0</v>
      </c>
      <c r="E86" s="54">
        <f>U27</f>
        <v>0</v>
      </c>
      <c r="F86" s="48">
        <f>F30</f>
        <v>0</v>
      </c>
      <c r="G86" s="48">
        <f>I30</f>
        <v>0</v>
      </c>
      <c r="H86" s="48">
        <f>L30</f>
        <v>0</v>
      </c>
      <c r="I86" s="48">
        <f>O30</f>
        <v>0</v>
      </c>
      <c r="J86" s="48">
        <f>R30</f>
        <v>0</v>
      </c>
      <c r="K86" s="49">
        <f>U30</f>
        <v>0</v>
      </c>
      <c r="L86" s="47">
        <f>C33</f>
        <v>0</v>
      </c>
      <c r="M86" s="48">
        <f>F33</f>
        <v>0</v>
      </c>
      <c r="N86" s="48">
        <f>I33</f>
        <v>0</v>
      </c>
      <c r="O86" s="48">
        <f>L33</f>
        <v>0</v>
      </c>
      <c r="P86" s="48">
        <f>O33</f>
        <v>0</v>
      </c>
      <c r="Q86" s="48">
        <f>R33</f>
        <v>0</v>
      </c>
      <c r="R86" s="49">
        <f>U33</f>
        <v>0</v>
      </c>
      <c r="S86" s="47">
        <f>C36</f>
        <v>0</v>
      </c>
      <c r="T86" s="48">
        <f>F36</f>
        <v>0</v>
      </c>
      <c r="U86" s="48">
        <f>I36</f>
        <v>0</v>
      </c>
      <c r="V86" s="48">
        <f>L36</f>
        <v>0</v>
      </c>
      <c r="W86" s="48">
        <f>O36</f>
        <v>0</v>
      </c>
      <c r="X86" s="48">
        <f>R36</f>
        <v>0</v>
      </c>
      <c r="Y86" s="49">
        <f>U36</f>
        <v>0</v>
      </c>
      <c r="Z86" s="47">
        <f>C39</f>
        <v>0</v>
      </c>
      <c r="AA86" s="48">
        <f>F39</f>
        <v>0</v>
      </c>
      <c r="AB86" s="48">
        <f>I39</f>
        <v>0</v>
      </c>
      <c r="AC86" s="48">
        <f>L39</f>
        <v>0</v>
      </c>
      <c r="AD86" s="48">
        <f>O39</f>
        <v>0</v>
      </c>
      <c r="AE86" s="48">
        <f>R39</f>
        <v>0</v>
      </c>
      <c r="AF86" s="48">
        <f>U39</f>
        <v>0</v>
      </c>
      <c r="AG86" s="47">
        <f>C42</f>
        <v>0</v>
      </c>
      <c r="AH86" s="48">
        <f>F42</f>
        <v>0</v>
      </c>
      <c r="AI86" s="48">
        <f>I42</f>
        <v>0</v>
      </c>
      <c r="AJ86" s="48">
        <f>L42</f>
        <v>0</v>
      </c>
      <c r="AK86" s="48">
        <f>O42</f>
        <v>0</v>
      </c>
      <c r="AL86" s="48">
        <f>R42</f>
        <v>0</v>
      </c>
      <c r="AM86" s="49">
        <f>U42</f>
        <v>0</v>
      </c>
      <c r="AN86" s="47">
        <f>C45</f>
        <v>0</v>
      </c>
      <c r="AO86" s="48">
        <f>F45</f>
        <v>0</v>
      </c>
      <c r="AP86" s="48">
        <f>I45</f>
        <v>0</v>
      </c>
      <c r="AQ86" s="48">
        <f>L45</f>
        <v>0</v>
      </c>
      <c r="AR86" s="48">
        <f>O45</f>
        <v>0</v>
      </c>
      <c r="AS86" s="48">
        <f>R45</f>
        <v>0</v>
      </c>
      <c r="AT86" s="48">
        <f>U45</f>
        <v>0</v>
      </c>
      <c r="AU86" s="48">
        <f>X45</f>
        <v>0</v>
      </c>
      <c r="AV86" s="49">
        <f>AA45</f>
        <v>0</v>
      </c>
      <c r="AW86" s="52">
        <f>C48</f>
        <v>0</v>
      </c>
      <c r="AX86" s="53">
        <f>F48</f>
        <v>0</v>
      </c>
      <c r="AY86" s="53">
        <f>I48</f>
        <v>0</v>
      </c>
      <c r="AZ86" s="53">
        <f>L48</f>
        <v>0</v>
      </c>
      <c r="BA86" s="53">
        <f>O48</f>
        <v>0</v>
      </c>
      <c r="BB86" s="53">
        <f>R48</f>
        <v>0</v>
      </c>
      <c r="BC86" s="53">
        <f>U48</f>
        <v>0</v>
      </c>
      <c r="BD86" s="53">
        <f>X48</f>
        <v>0</v>
      </c>
      <c r="BE86" s="54">
        <f>AA48</f>
        <v>0</v>
      </c>
      <c r="BF86" s="52">
        <f>C51</f>
        <v>0</v>
      </c>
      <c r="BG86" s="53">
        <f>F51</f>
        <v>0</v>
      </c>
      <c r="BH86" s="53">
        <f>I51</f>
        <v>0</v>
      </c>
      <c r="BI86" s="53">
        <f>L51</f>
        <v>0</v>
      </c>
      <c r="BJ86" s="53">
        <f>O51</f>
        <v>0</v>
      </c>
      <c r="BK86" s="49">
        <f>R51</f>
        <v>0</v>
      </c>
      <c r="BL86" s="47">
        <f>C54</f>
        <v>0</v>
      </c>
      <c r="BM86" s="48">
        <f>F54</f>
        <v>0</v>
      </c>
      <c r="BN86" s="48">
        <f>I54</f>
        <v>0</v>
      </c>
      <c r="BO86" s="48">
        <f>L54</f>
        <v>0</v>
      </c>
      <c r="BP86" s="48">
        <f>O54</f>
        <v>0</v>
      </c>
      <c r="BQ86" s="48">
        <f>R54</f>
        <v>0</v>
      </c>
      <c r="BR86" s="47">
        <f>C57</f>
        <v>0</v>
      </c>
      <c r="BS86" s="48">
        <f>F57</f>
        <v>0</v>
      </c>
      <c r="BT86" s="48">
        <f>I57</f>
        <v>0</v>
      </c>
      <c r="BU86" s="48">
        <f>L57</f>
        <v>0</v>
      </c>
      <c r="BV86" s="49">
        <f>O57</f>
        <v>0</v>
      </c>
      <c r="BW86" s="50">
        <f>C60</f>
        <v>0</v>
      </c>
      <c r="BX86" s="35"/>
      <c r="BY86" s="35"/>
      <c r="BZ86" s="35"/>
      <c r="CA86" s="35"/>
      <c r="CB86" s="43"/>
      <c r="CC86" s="35"/>
      <c r="CD86" s="35"/>
      <c r="CE86" s="35"/>
      <c r="CF86" s="35"/>
      <c r="CG86" s="35"/>
      <c r="CH86" s="35"/>
      <c r="CI86" s="35"/>
      <c r="CJ86" s="35"/>
      <c r="CK86" s="35"/>
      <c r="CL86" s="35"/>
      <c r="CM86" s="35"/>
      <c r="CN86" s="35"/>
      <c r="CO86" s="35"/>
      <c r="CP86" s="35"/>
      <c r="CQ86" s="35"/>
    </row>
    <row r="87" spans="1:95" hidden="1" x14ac:dyDescent="0.25">
      <c r="A87" s="43">
        <v>5</v>
      </c>
      <c r="B87" s="47">
        <f>AA21</f>
        <v>0</v>
      </c>
      <c r="C87" s="48">
        <f>AD21</f>
        <v>0</v>
      </c>
      <c r="D87" s="48">
        <f>AG21</f>
        <v>0</v>
      </c>
      <c r="E87" s="49">
        <f>AJ21</f>
        <v>0</v>
      </c>
      <c r="F87" s="47">
        <f>X24</f>
        <v>0</v>
      </c>
      <c r="G87" s="48">
        <f>AA24</f>
        <v>0</v>
      </c>
      <c r="H87" s="48">
        <f>AD24</f>
        <v>0</v>
      </c>
      <c r="I87" s="48">
        <f>AG24</f>
        <v>0</v>
      </c>
      <c r="J87" s="48">
        <f>AJ24</f>
        <v>0</v>
      </c>
      <c r="K87" s="48">
        <f>AM24</f>
        <v>0</v>
      </c>
      <c r="L87" s="48">
        <f>AP24</f>
        <v>0</v>
      </c>
      <c r="M87" s="48">
        <f>AS24</f>
        <v>0</v>
      </c>
      <c r="N87" s="49">
        <f>AV24</f>
        <v>0</v>
      </c>
      <c r="O87" s="47">
        <f>X27</f>
        <v>0</v>
      </c>
      <c r="P87" s="48">
        <f>AA27</f>
        <v>0</v>
      </c>
      <c r="Q87" s="48">
        <f>AD27</f>
        <v>0</v>
      </c>
      <c r="R87" s="48">
        <f>AG27</f>
        <v>0</v>
      </c>
      <c r="S87" s="48">
        <f>AJ27</f>
        <v>0</v>
      </c>
      <c r="T87" s="48">
        <f>AM27</f>
        <v>0</v>
      </c>
      <c r="U87" s="48">
        <f>AP27</f>
        <v>0</v>
      </c>
      <c r="V87" s="48">
        <f>AS27</f>
        <v>0</v>
      </c>
      <c r="W87" s="49">
        <f>AV27</f>
        <v>0</v>
      </c>
      <c r="X87" s="47">
        <f>X30</f>
        <v>0</v>
      </c>
      <c r="Y87" s="48">
        <f>AA30</f>
        <v>0</v>
      </c>
      <c r="Z87" s="48">
        <f>AD30</f>
        <v>0</v>
      </c>
      <c r="AA87" s="48">
        <f>AG30</f>
        <v>0</v>
      </c>
      <c r="AB87" s="48">
        <f>AJ30</f>
        <v>0</v>
      </c>
      <c r="AC87" s="48">
        <f>AM30</f>
        <v>0</v>
      </c>
      <c r="AD87" s="48">
        <f>AP30</f>
        <v>0</v>
      </c>
      <c r="AE87" s="48">
        <f>AS30</f>
        <v>0</v>
      </c>
      <c r="AF87" s="49">
        <f>AV30</f>
        <v>0</v>
      </c>
      <c r="AG87" s="47">
        <f>X33</f>
        <v>0</v>
      </c>
      <c r="AH87" s="48">
        <f>AA33</f>
        <v>0</v>
      </c>
      <c r="AI87" s="48">
        <f>AD33</f>
        <v>0</v>
      </c>
      <c r="AJ87" s="48">
        <f>AG33</f>
        <v>0</v>
      </c>
      <c r="AK87" s="48">
        <f>AJ33</f>
        <v>0</v>
      </c>
      <c r="AL87" s="48">
        <f>AM33</f>
        <v>0</v>
      </c>
      <c r="AM87" s="48">
        <f>AP33</f>
        <v>0</v>
      </c>
      <c r="AN87" s="48">
        <f>AS33</f>
        <v>0</v>
      </c>
      <c r="AO87" s="49">
        <f>AV33</f>
        <v>0</v>
      </c>
      <c r="AP87" s="47">
        <f>X36</f>
        <v>0</v>
      </c>
      <c r="AQ87" s="48">
        <f>AA36</f>
        <v>0</v>
      </c>
      <c r="AR87" s="48">
        <f>AD36</f>
        <v>0</v>
      </c>
      <c r="AS87" s="48">
        <f>AG36</f>
        <v>0</v>
      </c>
      <c r="AT87" s="48">
        <f>AJ36</f>
        <v>0</v>
      </c>
      <c r="AU87" s="48">
        <f>AM36</f>
        <v>0</v>
      </c>
      <c r="AV87" s="48">
        <f>AP36</f>
        <v>0</v>
      </c>
      <c r="AW87" s="47">
        <f>X39</f>
        <v>0</v>
      </c>
      <c r="AX87" s="48">
        <f>AA39</f>
        <v>0</v>
      </c>
      <c r="AY87" s="48">
        <f>AD39</f>
        <v>0</v>
      </c>
      <c r="AZ87" s="48">
        <f>AG39</f>
        <v>0</v>
      </c>
      <c r="BA87" s="48">
        <f>AJ39</f>
        <v>0</v>
      </c>
      <c r="BB87" s="48">
        <f>AM39</f>
        <v>0</v>
      </c>
      <c r="BC87" s="48">
        <f>AP39</f>
        <v>0</v>
      </c>
      <c r="BD87" s="47">
        <f>X42</f>
        <v>0</v>
      </c>
      <c r="BE87" s="48">
        <f>AA42</f>
        <v>0</v>
      </c>
      <c r="BF87" s="48">
        <f>AD42</f>
        <v>0</v>
      </c>
      <c r="BG87" s="48">
        <f>AG42</f>
        <v>0</v>
      </c>
      <c r="BH87" s="48">
        <f>AJ42</f>
        <v>0</v>
      </c>
      <c r="BI87" s="48">
        <f>AM42</f>
        <v>0</v>
      </c>
      <c r="BJ87" s="49">
        <f>AP42</f>
        <v>0</v>
      </c>
      <c r="BK87" s="48">
        <f>AD45</f>
        <v>0</v>
      </c>
      <c r="BL87" s="48">
        <f>AG45</f>
        <v>0</v>
      </c>
      <c r="BM87" s="48">
        <f>AJ45</f>
        <v>0</v>
      </c>
      <c r="BN87" s="48">
        <f>AM45</f>
        <v>0</v>
      </c>
      <c r="BO87" s="47">
        <f>AD48</f>
        <v>0</v>
      </c>
      <c r="BP87" s="48">
        <f>AG48</f>
        <v>0</v>
      </c>
      <c r="BQ87" s="49">
        <f>AJ48</f>
        <v>0</v>
      </c>
      <c r="BR87" s="35"/>
      <c r="BS87" s="35"/>
      <c r="BT87" s="35"/>
      <c r="BU87" s="35"/>
      <c r="BV87" s="35"/>
      <c r="BW87" s="35"/>
      <c r="BX87" s="35"/>
      <c r="BY87" s="35"/>
      <c r="BZ87" s="35"/>
      <c r="CA87" s="35"/>
      <c r="CB87" s="43"/>
      <c r="CC87" s="35"/>
      <c r="CD87" s="35"/>
      <c r="CE87" s="35"/>
      <c r="CF87" s="35"/>
      <c r="CG87" s="35"/>
      <c r="CH87" s="35"/>
      <c r="CI87" s="35"/>
      <c r="CJ87" s="35"/>
      <c r="CK87" s="35"/>
      <c r="CL87" s="35"/>
      <c r="CM87" s="35"/>
      <c r="CN87" s="35"/>
      <c r="CO87" s="35"/>
      <c r="CP87" s="35"/>
      <c r="CQ87" s="35"/>
    </row>
    <row r="88" spans="1:95" hidden="1" x14ac:dyDescent="0.25">
      <c r="A88" s="43">
        <v>6</v>
      </c>
      <c r="B88" s="50">
        <f>BB21</f>
        <v>0</v>
      </c>
      <c r="C88" s="47">
        <f>AY24</f>
        <v>0</v>
      </c>
      <c r="D88" s="48">
        <f>BB24</f>
        <v>0</v>
      </c>
      <c r="E88" s="48">
        <f>BE24</f>
        <v>0</v>
      </c>
      <c r="F88" s="48">
        <f>BH24</f>
        <v>0</v>
      </c>
      <c r="G88" s="48">
        <f>BK24</f>
        <v>0</v>
      </c>
      <c r="H88" s="48">
        <f>BN24</f>
        <v>0</v>
      </c>
      <c r="I88" s="48">
        <f>BQ24</f>
        <v>0</v>
      </c>
      <c r="J88" s="49">
        <f>BT24</f>
        <v>0</v>
      </c>
      <c r="K88" s="47">
        <f>AY27</f>
        <v>0</v>
      </c>
      <c r="L88" s="48">
        <f>BB27</f>
        <v>0</v>
      </c>
      <c r="M88" s="48">
        <f>BE27</f>
        <v>0</v>
      </c>
      <c r="N88" s="48">
        <f>BH27</f>
        <v>0</v>
      </c>
      <c r="O88" s="48">
        <f>BK27</f>
        <v>0</v>
      </c>
      <c r="P88" s="48">
        <f>BN27</f>
        <v>0</v>
      </c>
      <c r="Q88" s="48">
        <f>BQ27</f>
        <v>0</v>
      </c>
      <c r="R88" s="48">
        <f>BT27</f>
        <v>0</v>
      </c>
      <c r="S88" s="49">
        <f>BW27</f>
        <v>0</v>
      </c>
      <c r="T88" s="47">
        <f>AY30</f>
        <v>0</v>
      </c>
      <c r="U88" s="48">
        <f>BB30</f>
        <v>0</v>
      </c>
      <c r="V88" s="48">
        <f>BE30</f>
        <v>0</v>
      </c>
      <c r="W88" s="48">
        <f>BH30</f>
        <v>0</v>
      </c>
      <c r="X88" s="48">
        <f>BK30</f>
        <v>0</v>
      </c>
      <c r="Y88" s="48">
        <f>BN30</f>
        <v>0</v>
      </c>
      <c r="Z88" s="48">
        <f>BQ30</f>
        <v>0</v>
      </c>
      <c r="AA88" s="48">
        <f>BT30</f>
        <v>0</v>
      </c>
      <c r="AB88" s="49">
        <f>BW30</f>
        <v>0</v>
      </c>
      <c r="AC88" s="47">
        <f>AY33</f>
        <v>0</v>
      </c>
      <c r="AD88" s="48">
        <f>BB33</f>
        <v>0</v>
      </c>
      <c r="AE88" s="48">
        <f>BE33</f>
        <v>0</v>
      </c>
      <c r="AF88" s="48">
        <f>BH33</f>
        <v>0</v>
      </c>
      <c r="AG88" s="48">
        <f>BK33</f>
        <v>0</v>
      </c>
      <c r="AH88" s="48">
        <f>BN33</f>
        <v>0</v>
      </c>
      <c r="AI88" s="48">
        <f>BQ33</f>
        <v>0</v>
      </c>
      <c r="AJ88" s="48">
        <f>BT33</f>
        <v>0</v>
      </c>
      <c r="AK88" s="49">
        <f>BW33</f>
        <v>0</v>
      </c>
      <c r="AL88" s="47">
        <f>AV36</f>
        <v>0</v>
      </c>
      <c r="AM88" s="48">
        <f>AY36</f>
        <v>0</v>
      </c>
      <c r="AN88" s="48">
        <f>BB36</f>
        <v>0</v>
      </c>
      <c r="AO88" s="48">
        <f>BE36</f>
        <v>0</v>
      </c>
      <c r="AP88" s="48">
        <f>BH36</f>
        <v>0</v>
      </c>
      <c r="AQ88" s="48">
        <f>BK36</f>
        <v>0</v>
      </c>
      <c r="AR88" s="48">
        <f>BN36</f>
        <v>0</v>
      </c>
      <c r="AS88" s="48">
        <f>BQ36</f>
        <v>0</v>
      </c>
      <c r="AT88" s="48">
        <f>BT36</f>
        <v>0</v>
      </c>
      <c r="AU88" s="48">
        <f>BW36</f>
        <v>0</v>
      </c>
      <c r="AV88" s="49">
        <f>BZ36</f>
        <v>0</v>
      </c>
      <c r="AW88" s="55">
        <f>AY39</f>
        <v>0</v>
      </c>
      <c r="AX88" s="56">
        <f>BB39</f>
        <v>0</v>
      </c>
      <c r="AY88" s="56">
        <f>BE39</f>
        <v>0</v>
      </c>
      <c r="AZ88" s="56">
        <f>BH39</f>
        <v>0</v>
      </c>
      <c r="BA88" s="56">
        <f>BK39</f>
        <v>0</v>
      </c>
      <c r="BB88" s="56">
        <f>BN39</f>
        <v>0</v>
      </c>
      <c r="BC88" s="56">
        <f>BQ39</f>
        <v>0</v>
      </c>
      <c r="BD88" s="56">
        <f>BT39</f>
        <v>0</v>
      </c>
      <c r="BE88" s="56">
        <f>BW39</f>
        <v>0</v>
      </c>
      <c r="BF88" s="57">
        <f>BZ39</f>
        <v>0</v>
      </c>
      <c r="BG88" s="55">
        <f>AY42</f>
        <v>0</v>
      </c>
      <c r="BH88" s="58">
        <f>BB42</f>
        <v>0</v>
      </c>
      <c r="BI88" s="59">
        <f>AY45</f>
        <v>0</v>
      </c>
      <c r="BJ88" s="58">
        <f>BB45</f>
        <v>0</v>
      </c>
      <c r="BK88" s="50">
        <f>BB48</f>
        <v>0</v>
      </c>
      <c r="BL88" s="50">
        <f>BB51</f>
        <v>0</v>
      </c>
      <c r="BM88" s="50">
        <f>BB54</f>
        <v>0</v>
      </c>
      <c r="BN88" s="35"/>
      <c r="BO88" s="35"/>
      <c r="BP88" s="35"/>
      <c r="BQ88" s="35"/>
      <c r="BR88" s="35"/>
      <c r="BS88" s="35"/>
      <c r="BT88" s="35"/>
      <c r="BU88" s="35"/>
      <c r="BV88" s="35"/>
      <c r="BW88" s="35"/>
      <c r="BX88" s="35"/>
      <c r="BY88" s="35"/>
      <c r="BZ88" s="35"/>
      <c r="CA88" s="35"/>
      <c r="CB88" s="43"/>
      <c r="CC88" s="35"/>
      <c r="CD88" s="35"/>
      <c r="CE88" s="35"/>
      <c r="CF88" s="35"/>
      <c r="CG88" s="35"/>
      <c r="CH88" s="35"/>
      <c r="CI88" s="35"/>
      <c r="CJ88" s="35"/>
      <c r="CK88" s="35"/>
      <c r="CL88" s="35"/>
      <c r="CM88" s="35"/>
      <c r="CN88" s="35"/>
      <c r="CO88" s="35"/>
      <c r="CP88" s="35"/>
      <c r="CQ88" s="35"/>
    </row>
    <row r="89" spans="1:95" hidden="1" x14ac:dyDescent="0.25">
      <c r="A89" s="43">
        <v>7</v>
      </c>
      <c r="B89" s="47">
        <f>R57</f>
        <v>0</v>
      </c>
      <c r="C89" s="49">
        <f>U57</f>
        <v>0</v>
      </c>
      <c r="D89" s="48">
        <f>F60</f>
        <v>0</v>
      </c>
      <c r="E89" s="48">
        <f>I60</f>
        <v>0</v>
      </c>
      <c r="F89" s="48">
        <f>L60</f>
        <v>0</v>
      </c>
      <c r="G89" s="53">
        <f>O60</f>
        <v>0</v>
      </c>
      <c r="H89" s="53">
        <f>R60</f>
        <v>0</v>
      </c>
      <c r="I89" s="53">
        <f>U60</f>
        <v>0</v>
      </c>
      <c r="J89" s="54">
        <f>X60</f>
        <v>0</v>
      </c>
      <c r="K89" s="52">
        <f>C63</f>
        <v>0</v>
      </c>
      <c r="L89" s="53">
        <f>F63</f>
        <v>0</v>
      </c>
      <c r="M89" s="53">
        <f>I63</f>
        <v>0</v>
      </c>
      <c r="N89" s="53">
        <f>L63</f>
        <v>0</v>
      </c>
      <c r="O89" s="53">
        <f>O63</f>
        <v>0</v>
      </c>
      <c r="P89" s="53">
        <f>R63</f>
        <v>0</v>
      </c>
      <c r="Q89" s="53">
        <f>U63</f>
        <v>0</v>
      </c>
      <c r="R89" s="54">
        <f>X63</f>
        <v>0</v>
      </c>
      <c r="S89" s="52">
        <f>C66</f>
        <v>0</v>
      </c>
      <c r="T89" s="53">
        <f>F66</f>
        <v>0</v>
      </c>
      <c r="U89" s="53">
        <f>I66</f>
        <v>0</v>
      </c>
      <c r="V89" s="53">
        <f>L66</f>
        <v>0</v>
      </c>
      <c r="W89" s="53">
        <f>O66</f>
        <v>0</v>
      </c>
      <c r="X89" s="53">
        <f>R66</f>
        <v>0</v>
      </c>
      <c r="Y89" s="53">
        <f>U66</f>
        <v>0</v>
      </c>
      <c r="Z89" s="48">
        <f>X66</f>
        <v>0</v>
      </c>
      <c r="AA89" s="49">
        <f>AA66</f>
        <v>0</v>
      </c>
      <c r="AB89" s="47">
        <f>C69</f>
        <v>0</v>
      </c>
      <c r="AC89" s="48">
        <f>F69</f>
        <v>0</v>
      </c>
      <c r="AD89" s="48">
        <f>I69</f>
        <v>0</v>
      </c>
      <c r="AE89" s="48">
        <f>L69</f>
        <v>0</v>
      </c>
      <c r="AF89" s="48">
        <f>O69</f>
        <v>0</v>
      </c>
      <c r="AG89" s="48">
        <f>R69</f>
        <v>0</v>
      </c>
      <c r="AH89" s="48">
        <f>U69</f>
        <v>0</v>
      </c>
      <c r="AI89" s="48">
        <f>X69</f>
        <v>0</v>
      </c>
      <c r="AJ89" s="48">
        <f>AA69</f>
        <v>0</v>
      </c>
      <c r="AK89" s="49">
        <f>AD69</f>
        <v>0</v>
      </c>
      <c r="AL89" s="47">
        <f>C72</f>
        <v>0</v>
      </c>
      <c r="AM89" s="48">
        <f>F72</f>
        <v>0</v>
      </c>
      <c r="AN89" s="48">
        <f>I72</f>
        <v>0</v>
      </c>
      <c r="AO89" s="48">
        <f>L72</f>
        <v>0</v>
      </c>
      <c r="AP89" s="48">
        <f>O72</f>
        <v>0</v>
      </c>
      <c r="AQ89" s="48">
        <f>R72</f>
        <v>0</v>
      </c>
      <c r="AR89" s="48">
        <f>U72</f>
        <v>0</v>
      </c>
      <c r="AS89" s="48">
        <f>X72</f>
        <v>0</v>
      </c>
      <c r="AT89" s="48">
        <f>AA72</f>
        <v>0</v>
      </c>
      <c r="AU89" s="49">
        <f>AD72</f>
        <v>0</v>
      </c>
      <c r="AV89" s="47">
        <f>C75</f>
        <v>0</v>
      </c>
      <c r="AW89" s="48">
        <f>F75</f>
        <v>0</v>
      </c>
      <c r="AX89" s="48">
        <f>I75</f>
        <v>0</v>
      </c>
      <c r="AY89" s="48">
        <f>L75</f>
        <v>0</v>
      </c>
      <c r="AZ89" s="48">
        <f>O75</f>
        <v>0</v>
      </c>
      <c r="BA89" s="48">
        <f>R75</f>
        <v>0</v>
      </c>
      <c r="BB89" s="48">
        <f>U75</f>
        <v>0</v>
      </c>
      <c r="BC89" s="48">
        <f>X75</f>
        <v>0</v>
      </c>
      <c r="BD89" s="48">
        <f>AA75</f>
        <v>0</v>
      </c>
      <c r="BE89" s="48">
        <f>AD75</f>
        <v>0</v>
      </c>
      <c r="BF89" s="49">
        <f>AG75</f>
        <v>0</v>
      </c>
      <c r="BG89" s="47">
        <f>C78</f>
        <v>0</v>
      </c>
      <c r="BH89" s="48">
        <f>F78</f>
        <v>0</v>
      </c>
      <c r="BI89" s="48">
        <f>I78</f>
        <v>0</v>
      </c>
      <c r="BJ89" s="48">
        <f>L78</f>
        <v>0</v>
      </c>
      <c r="BK89" s="48">
        <f>O78</f>
        <v>0</v>
      </c>
      <c r="BL89" s="53">
        <f>R78</f>
        <v>0</v>
      </c>
      <c r="BM89" s="53">
        <f>U78</f>
        <v>0</v>
      </c>
      <c r="BN89" s="53">
        <f>X78</f>
        <v>0</v>
      </c>
      <c r="BO89" s="53">
        <f>AA78</f>
        <v>0</v>
      </c>
      <c r="BP89" s="53">
        <f>AD78</f>
        <v>0</v>
      </c>
      <c r="BQ89" s="54">
        <f>AG78</f>
        <v>0</v>
      </c>
      <c r="BR89" s="35"/>
      <c r="BS89" s="35"/>
      <c r="BT89" s="35"/>
      <c r="BU89" s="35"/>
      <c r="BV89" s="35"/>
      <c r="BW89" s="35"/>
      <c r="BX89" s="35"/>
      <c r="BY89" s="35"/>
      <c r="BZ89" s="35"/>
      <c r="CA89" s="35"/>
      <c r="CB89" s="43"/>
      <c r="CC89" s="35"/>
      <c r="CD89" s="35"/>
      <c r="CE89" s="35"/>
      <c r="CF89" s="35"/>
      <c r="CG89" s="35"/>
      <c r="CH89" s="35"/>
      <c r="CI89" s="35"/>
      <c r="CJ89" s="35"/>
      <c r="CK89" s="35"/>
      <c r="CL89" s="35"/>
      <c r="CM89" s="35"/>
      <c r="CN89" s="35"/>
      <c r="CO89" s="35"/>
      <c r="CP89" s="35"/>
      <c r="CQ89" s="35"/>
    </row>
    <row r="90" spans="1:95" hidden="1" x14ac:dyDescent="0.25">
      <c r="A90" s="43">
        <v>8</v>
      </c>
      <c r="B90" s="50">
        <f>AS36</f>
        <v>0</v>
      </c>
      <c r="C90" s="47">
        <f>AS39</f>
        <v>0</v>
      </c>
      <c r="D90" s="49">
        <f>AV39</f>
        <v>0</v>
      </c>
      <c r="E90" s="47">
        <f>AS42</f>
        <v>0</v>
      </c>
      <c r="F90" s="48">
        <f>AV42</f>
        <v>0</v>
      </c>
      <c r="G90" s="47">
        <f>AP45</f>
        <v>0</v>
      </c>
      <c r="H90" s="48">
        <f>AS45</f>
        <v>0</v>
      </c>
      <c r="I90" s="48">
        <f>AV45</f>
        <v>0</v>
      </c>
      <c r="J90" s="47">
        <f>AM48</f>
        <v>0</v>
      </c>
      <c r="K90" s="48">
        <f>AP48</f>
        <v>0</v>
      </c>
      <c r="L90" s="48">
        <f>AS48</f>
        <v>0</v>
      </c>
      <c r="M90" s="48">
        <f>AV48</f>
        <v>0</v>
      </c>
      <c r="N90" s="48">
        <f>AY48</f>
        <v>0</v>
      </c>
      <c r="O90" s="47">
        <f>U51</f>
        <v>0</v>
      </c>
      <c r="P90" s="48">
        <f>X51</f>
        <v>0</v>
      </c>
      <c r="Q90" s="48">
        <f>AA51</f>
        <v>0</v>
      </c>
      <c r="R90" s="48">
        <f>AD51</f>
        <v>0</v>
      </c>
      <c r="S90" s="48">
        <f>AG51</f>
        <v>0</v>
      </c>
      <c r="T90" s="48">
        <f>AJ51</f>
        <v>0</v>
      </c>
      <c r="U90" s="48">
        <f>AM51</f>
        <v>0</v>
      </c>
      <c r="V90" s="48">
        <f>AP51</f>
        <v>0</v>
      </c>
      <c r="W90" s="48">
        <f>AS51</f>
        <v>0</v>
      </c>
      <c r="X90" s="48">
        <f>AV51</f>
        <v>0</v>
      </c>
      <c r="Y90" s="49">
        <f>AY51</f>
        <v>0</v>
      </c>
      <c r="Z90" s="48">
        <f>U54</f>
        <v>0</v>
      </c>
      <c r="AA90" s="48">
        <f>X54</f>
        <v>0</v>
      </c>
      <c r="AB90" s="48">
        <f>AA54</f>
        <v>0</v>
      </c>
      <c r="AC90" s="48">
        <f>AD54</f>
        <v>0</v>
      </c>
      <c r="AD90" s="48">
        <f>AG54</f>
        <v>0</v>
      </c>
      <c r="AE90" s="48">
        <f>AJ54</f>
        <v>0</v>
      </c>
      <c r="AF90" s="48">
        <f>AM54</f>
        <v>0</v>
      </c>
      <c r="AG90" s="48">
        <f>AP54</f>
        <v>0</v>
      </c>
      <c r="AH90" s="48">
        <f>AS54</f>
        <v>0</v>
      </c>
      <c r="AI90" s="48">
        <f>AV54</f>
        <v>0</v>
      </c>
      <c r="AJ90" s="49">
        <f>AY54</f>
        <v>0</v>
      </c>
      <c r="AK90" s="47">
        <f>X57</f>
        <v>0</v>
      </c>
      <c r="AL90" s="48">
        <f>AA57</f>
        <v>0</v>
      </c>
      <c r="AM90" s="48">
        <f>AD57</f>
        <v>0</v>
      </c>
      <c r="AN90" s="48">
        <f>AG57</f>
        <v>0</v>
      </c>
      <c r="AO90" s="48">
        <f>AJ57</f>
        <v>0</v>
      </c>
      <c r="AP90" s="48">
        <f>AM57</f>
        <v>0</v>
      </c>
      <c r="AQ90" s="48">
        <f>AP57</f>
        <v>0</v>
      </c>
      <c r="AR90" s="48">
        <f>AS57</f>
        <v>0</v>
      </c>
      <c r="AS90" s="48">
        <f>AV57</f>
        <v>0</v>
      </c>
      <c r="AT90" s="49">
        <f>AY57</f>
        <v>0</v>
      </c>
      <c r="AU90" s="47">
        <f>AA60</f>
        <v>0</v>
      </c>
      <c r="AV90" s="48">
        <f>AD60</f>
        <v>0</v>
      </c>
      <c r="AW90" s="48">
        <f>AG60</f>
        <v>0</v>
      </c>
      <c r="AX90" s="48">
        <f>AJ60</f>
        <v>0</v>
      </c>
      <c r="AY90" s="48">
        <f>AM60</f>
        <v>0</v>
      </c>
      <c r="AZ90" s="48">
        <f>AP60</f>
        <v>0</v>
      </c>
      <c r="BA90" s="48">
        <f>AS60</f>
        <v>0</v>
      </c>
      <c r="BB90" s="48">
        <f>AV60</f>
        <v>0</v>
      </c>
      <c r="BC90" s="49">
        <f>AY60</f>
        <v>0</v>
      </c>
      <c r="BD90" s="47">
        <f>AA63</f>
        <v>0</v>
      </c>
      <c r="BE90" s="48">
        <f>AD63</f>
        <v>0</v>
      </c>
      <c r="BF90" s="48">
        <f>AG63</f>
        <v>0</v>
      </c>
      <c r="BG90" s="48">
        <f>AJ63</f>
        <v>0</v>
      </c>
      <c r="BH90" s="48">
        <f>AM63</f>
        <v>0</v>
      </c>
      <c r="BI90" s="48">
        <f>AP63</f>
        <v>0</v>
      </c>
      <c r="BJ90" s="48">
        <f>AS63</f>
        <v>0</v>
      </c>
      <c r="BK90" s="48">
        <f>AV63</f>
        <v>0</v>
      </c>
      <c r="BL90" s="48">
        <f>AY63</f>
        <v>0</v>
      </c>
      <c r="BM90" s="48">
        <f>BB63</f>
        <v>0</v>
      </c>
      <c r="BN90" s="49">
        <f>BE63</f>
        <v>0</v>
      </c>
      <c r="BO90" s="47">
        <f>AD66</f>
        <v>0</v>
      </c>
      <c r="BP90" s="48">
        <f>AG66</f>
        <v>0</v>
      </c>
      <c r="BQ90" s="48">
        <f>AJ66</f>
        <v>0</v>
      </c>
      <c r="BR90" s="48">
        <f>AM66</f>
        <v>0</v>
      </c>
      <c r="BS90" s="48">
        <f>AP66</f>
        <v>0</v>
      </c>
      <c r="BT90" s="48">
        <f>AS66</f>
        <v>0</v>
      </c>
      <c r="BU90" s="48">
        <f>AV66</f>
        <v>0</v>
      </c>
      <c r="BV90" s="49">
        <f>AY66</f>
        <v>0</v>
      </c>
      <c r="BW90" s="47">
        <f>AG69</f>
        <v>0</v>
      </c>
      <c r="BX90" s="48">
        <f>AJ69</f>
        <v>0</v>
      </c>
      <c r="BY90" s="49">
        <f>AM69</f>
        <v>0</v>
      </c>
      <c r="BZ90" s="47">
        <f>AG72</f>
        <v>0</v>
      </c>
      <c r="CA90" s="49">
        <f>AJ72</f>
        <v>0</v>
      </c>
      <c r="CB90" s="43"/>
      <c r="CC90" s="35"/>
      <c r="CD90" s="35"/>
      <c r="CE90" s="35"/>
      <c r="CF90" s="35"/>
      <c r="CG90" s="35"/>
      <c r="CH90" s="35"/>
      <c r="CI90" s="35"/>
      <c r="CJ90" s="35"/>
      <c r="CK90" s="35"/>
      <c r="CL90" s="35"/>
      <c r="CM90" s="35"/>
      <c r="CN90" s="35"/>
      <c r="CO90" s="35"/>
      <c r="CP90" s="35"/>
      <c r="CQ90" s="35"/>
    </row>
    <row r="91" spans="1:95" hidden="1" x14ac:dyDescent="0.25">
      <c r="A91" s="43">
        <v>9</v>
      </c>
      <c r="B91" s="47">
        <f>BE42</f>
        <v>0</v>
      </c>
      <c r="C91" s="48">
        <f>BH42</f>
        <v>0</v>
      </c>
      <c r="D91" s="48">
        <f>BK42</f>
        <v>0</v>
      </c>
      <c r="E91" s="48">
        <f>BN42</f>
        <v>0</v>
      </c>
      <c r="F91" s="48">
        <f>BQ42</f>
        <v>0</v>
      </c>
      <c r="G91" s="56">
        <f>BT42</f>
        <v>0</v>
      </c>
      <c r="H91" s="56">
        <f>BW42</f>
        <v>0</v>
      </c>
      <c r="I91" s="57">
        <f>BZ42</f>
        <v>0</v>
      </c>
      <c r="J91" s="55">
        <f>BE45</f>
        <v>0</v>
      </c>
      <c r="K91" s="56">
        <f>BH45</f>
        <v>0</v>
      </c>
      <c r="L91" s="56">
        <f>BK45</f>
        <v>0</v>
      </c>
      <c r="M91" s="56">
        <f>BN45</f>
        <v>0</v>
      </c>
      <c r="N91" s="56">
        <f>BQ45</f>
        <v>0</v>
      </c>
      <c r="O91" s="56">
        <f>BT45</f>
        <v>0</v>
      </c>
      <c r="P91" s="56">
        <f>BW45</f>
        <v>0</v>
      </c>
      <c r="Q91" s="57">
        <f>BZ45</f>
        <v>0</v>
      </c>
      <c r="R91" s="56">
        <f>BE48</f>
        <v>0</v>
      </c>
      <c r="S91" s="56">
        <f>BH48</f>
        <v>0</v>
      </c>
      <c r="T91" s="56">
        <f>BK48</f>
        <v>0</v>
      </c>
      <c r="U91" s="56">
        <f>BN48</f>
        <v>0</v>
      </c>
      <c r="V91" s="56">
        <f>BQ48</f>
        <v>0</v>
      </c>
      <c r="W91" s="56">
        <f>BT48</f>
        <v>0</v>
      </c>
      <c r="X91" s="56">
        <f>BW48</f>
        <v>0</v>
      </c>
      <c r="Y91" s="57">
        <f>BZ48</f>
        <v>0</v>
      </c>
      <c r="Z91" s="48">
        <f>BE51</f>
        <v>0</v>
      </c>
      <c r="AA91" s="48">
        <f>BH51</f>
        <v>0</v>
      </c>
      <c r="AB91" s="48">
        <f>BK51</f>
        <v>0</v>
      </c>
      <c r="AC91" s="48">
        <f>BN51</f>
        <v>0</v>
      </c>
      <c r="AD91" s="48">
        <f>BQ51</f>
        <v>0</v>
      </c>
      <c r="AE91" s="48">
        <f>BT51</f>
        <v>0</v>
      </c>
      <c r="AF91" s="48">
        <f>BW51</f>
        <v>0</v>
      </c>
      <c r="AG91" s="49">
        <f>BZ51</f>
        <v>0</v>
      </c>
      <c r="AH91" s="48">
        <f>BE54</f>
        <v>0</v>
      </c>
      <c r="AI91" s="48">
        <f>BH54</f>
        <v>0</v>
      </c>
      <c r="AJ91" s="48">
        <f>BK54</f>
        <v>0</v>
      </c>
      <c r="AK91" s="48">
        <f>BN54</f>
        <v>0</v>
      </c>
      <c r="AL91" s="48">
        <f>BQ54</f>
        <v>0</v>
      </c>
      <c r="AM91" s="48">
        <f>BT54</f>
        <v>0</v>
      </c>
      <c r="AN91" s="48">
        <f>BW54</f>
        <v>0</v>
      </c>
      <c r="AO91" s="49">
        <f>BZ54</f>
        <v>0</v>
      </c>
      <c r="AP91" s="47">
        <f>BB57</f>
        <v>0</v>
      </c>
      <c r="AQ91" s="48">
        <f>BE57</f>
        <v>0</v>
      </c>
      <c r="AR91" s="48">
        <f>BH57</f>
        <v>0</v>
      </c>
      <c r="AS91" s="48">
        <f>BK57</f>
        <v>0</v>
      </c>
      <c r="AT91" s="48">
        <f>BN57</f>
        <v>0</v>
      </c>
      <c r="AU91" s="48">
        <f>BQ57</f>
        <v>0</v>
      </c>
      <c r="AV91" s="48">
        <f>BT57</f>
        <v>0</v>
      </c>
      <c r="AW91" s="48">
        <f>BW57</f>
        <v>0</v>
      </c>
      <c r="AX91" s="49">
        <f>BZ57</f>
        <v>0</v>
      </c>
      <c r="AY91" s="47">
        <f>BB60</f>
        <v>0</v>
      </c>
      <c r="AZ91" s="48">
        <f>BE60</f>
        <v>0</v>
      </c>
      <c r="BA91" s="48">
        <f>BH60</f>
        <v>0</v>
      </c>
      <c r="BB91" s="48">
        <f>BK60</f>
        <v>0</v>
      </c>
      <c r="BC91" s="48">
        <f>BN60</f>
        <v>0</v>
      </c>
      <c r="BD91" s="48">
        <f>BQ60</f>
        <v>0</v>
      </c>
      <c r="BE91" s="48">
        <f>BT60</f>
        <v>0</v>
      </c>
      <c r="BF91" s="48">
        <f>BW60</f>
        <v>0</v>
      </c>
      <c r="BG91" s="49">
        <f>BZ60</f>
        <v>0</v>
      </c>
      <c r="BH91" s="47">
        <f>BK63</f>
        <v>0</v>
      </c>
      <c r="BI91" s="48">
        <f>BN63</f>
        <v>0</v>
      </c>
      <c r="BJ91" s="48">
        <f>BQ63</f>
        <v>0</v>
      </c>
      <c r="BK91" s="48">
        <f>BT63</f>
        <v>0</v>
      </c>
      <c r="BL91" s="48">
        <f>BW63</f>
        <v>0</v>
      </c>
      <c r="BM91" s="49">
        <f>BZ63</f>
        <v>0</v>
      </c>
      <c r="BN91" s="35"/>
      <c r="BO91" s="35"/>
      <c r="BP91" s="35"/>
      <c r="BQ91" s="35"/>
      <c r="BR91" s="35"/>
      <c r="BS91" s="35"/>
      <c r="BT91" s="35"/>
      <c r="BU91" s="35"/>
      <c r="BV91" s="35"/>
      <c r="BW91" s="35"/>
      <c r="BX91" s="35"/>
      <c r="BY91" s="35"/>
      <c r="BZ91" s="35"/>
      <c r="CA91" s="35"/>
      <c r="CB91" s="43"/>
      <c r="CC91" s="35"/>
      <c r="CD91" s="35"/>
      <c r="CE91" s="35"/>
      <c r="CF91" s="35"/>
      <c r="CG91" s="35"/>
      <c r="CH91" s="35"/>
      <c r="CI91" s="35"/>
      <c r="CJ91" s="35"/>
      <c r="CK91" s="35"/>
      <c r="CL91" s="35"/>
      <c r="CM91" s="35"/>
      <c r="CN91" s="35"/>
      <c r="CO91" s="35"/>
      <c r="CP91" s="35"/>
      <c r="CQ91" s="35"/>
    </row>
    <row r="92" spans="1:95" hidden="1" x14ac:dyDescent="0.25">
      <c r="A92" s="43">
        <v>10</v>
      </c>
      <c r="B92" s="50">
        <f>BH63</f>
        <v>0</v>
      </c>
      <c r="C92" s="47">
        <f>BB66</f>
        <v>0</v>
      </c>
      <c r="D92" s="48">
        <f>BE66</f>
        <v>0</v>
      </c>
      <c r="E92" s="48">
        <f>BH66</f>
        <v>0</v>
      </c>
      <c r="F92" s="48">
        <f>BK66</f>
        <v>0</v>
      </c>
      <c r="G92" s="48">
        <f>BN66</f>
        <v>0</v>
      </c>
      <c r="H92" s="48">
        <f>BQ66</f>
        <v>0</v>
      </c>
      <c r="I92" s="48">
        <f>BT66</f>
        <v>0</v>
      </c>
      <c r="J92" s="48">
        <f>BW66</f>
        <v>0</v>
      </c>
      <c r="K92" s="49">
        <f>BZ66</f>
        <v>0</v>
      </c>
      <c r="L92" s="47">
        <f>AP69</f>
        <v>0</v>
      </c>
      <c r="M92" s="48">
        <f>AS69</f>
        <v>0</v>
      </c>
      <c r="N92" s="48">
        <f>AV69</f>
        <v>0</v>
      </c>
      <c r="O92" s="48">
        <f>AY69</f>
        <v>0</v>
      </c>
      <c r="P92" s="48">
        <f>BB69</f>
        <v>0</v>
      </c>
      <c r="Q92" s="48">
        <f>BE69</f>
        <v>0</v>
      </c>
      <c r="R92" s="48">
        <f>BH69</f>
        <v>0</v>
      </c>
      <c r="S92" s="48">
        <f>BK69</f>
        <v>0</v>
      </c>
      <c r="T92" s="48">
        <f>BN69</f>
        <v>0</v>
      </c>
      <c r="U92" s="48">
        <f>BQ69</f>
        <v>0</v>
      </c>
      <c r="V92" s="48">
        <f>BT69</f>
        <v>0</v>
      </c>
      <c r="W92" s="48">
        <f>BW69</f>
        <v>0</v>
      </c>
      <c r="X92" s="49">
        <f>BZ69</f>
        <v>0</v>
      </c>
      <c r="Y92" s="47">
        <f>AM72</f>
        <v>0</v>
      </c>
      <c r="Z92" s="48">
        <f>AP72</f>
        <v>0</v>
      </c>
      <c r="AA92" s="48">
        <f>AS72</f>
        <v>0</v>
      </c>
      <c r="AB92" s="48">
        <f>AV72</f>
        <v>0</v>
      </c>
      <c r="AC92" s="48">
        <f>AY72</f>
        <v>0</v>
      </c>
      <c r="AD92" s="48">
        <f>BB72</f>
        <v>0</v>
      </c>
      <c r="AE92" s="48">
        <f>BE72</f>
        <v>0</v>
      </c>
      <c r="AF92" s="48">
        <f>BH72</f>
        <v>0</v>
      </c>
      <c r="AG92" s="48">
        <f>BK72</f>
        <v>0</v>
      </c>
      <c r="AH92" s="48">
        <f>BN72</f>
        <v>0</v>
      </c>
      <c r="AI92" s="48">
        <f>BQ72</f>
        <v>0</v>
      </c>
      <c r="AJ92" s="48">
        <f>BT72</f>
        <v>0</v>
      </c>
      <c r="AK92" s="48">
        <f>BW72</f>
        <v>0</v>
      </c>
      <c r="AL92" s="49">
        <f>BZ72</f>
        <v>0</v>
      </c>
      <c r="AM92" s="47">
        <f>AJ75</f>
        <v>0</v>
      </c>
      <c r="AN92" s="48">
        <f>AM75</f>
        <v>0</v>
      </c>
      <c r="AO92" s="48">
        <f>AP75</f>
        <v>0</v>
      </c>
      <c r="AP92" s="48">
        <f>AS75</f>
        <v>0</v>
      </c>
      <c r="AQ92" s="48">
        <f>AV75</f>
        <v>0</v>
      </c>
      <c r="AR92" s="48">
        <f>AY75</f>
        <v>0</v>
      </c>
      <c r="AS92" s="48">
        <f>BB75</f>
        <v>0</v>
      </c>
      <c r="AT92" s="48">
        <f>BE75</f>
        <v>0</v>
      </c>
      <c r="AU92" s="48">
        <f>BH75</f>
        <v>0</v>
      </c>
      <c r="AV92" s="48">
        <f>BK75</f>
        <v>0</v>
      </c>
      <c r="AW92" s="48">
        <f>BN75</f>
        <v>0</v>
      </c>
      <c r="AX92" s="48">
        <f>BQ75</f>
        <v>0</v>
      </c>
      <c r="AY92" s="48">
        <f>BT75</f>
        <v>0</v>
      </c>
      <c r="AZ92" s="48">
        <f>BW75</f>
        <v>0</v>
      </c>
      <c r="BA92" s="49">
        <f>BZ75</f>
        <v>0</v>
      </c>
      <c r="BB92" s="47">
        <f>AJ78</f>
        <v>0</v>
      </c>
      <c r="BC92" s="48">
        <f>AM78</f>
        <v>0</v>
      </c>
      <c r="BD92" s="48">
        <f>AP78</f>
        <v>0</v>
      </c>
      <c r="BE92" s="48">
        <f>AS78</f>
        <v>0</v>
      </c>
      <c r="BF92" s="48">
        <f>AV78</f>
        <v>0</v>
      </c>
      <c r="BG92" s="48">
        <f>AY78</f>
        <v>0</v>
      </c>
      <c r="BH92" s="48">
        <f>BB78</f>
        <v>0</v>
      </c>
      <c r="BI92" s="48">
        <f>BE78</f>
        <v>0</v>
      </c>
      <c r="BJ92" s="48">
        <f>BH78</f>
        <v>0</v>
      </c>
      <c r="BK92" s="48">
        <f>BK78</f>
        <v>0</v>
      </c>
      <c r="BL92" s="48">
        <f>BN78</f>
        <v>0</v>
      </c>
      <c r="BM92" s="48">
        <f>BQ78</f>
        <v>0</v>
      </c>
      <c r="BN92" s="48">
        <f>BT78</f>
        <v>0</v>
      </c>
      <c r="BO92" s="48">
        <f>BW78</f>
        <v>0</v>
      </c>
      <c r="BP92" s="49">
        <f>BZ78</f>
        <v>0</v>
      </c>
      <c r="BQ92" s="35"/>
      <c r="BR92" s="35"/>
      <c r="BS92" s="35"/>
      <c r="BT92" s="35"/>
      <c r="BU92" s="35"/>
      <c r="BV92" s="35"/>
      <c r="BW92" s="35"/>
      <c r="BX92" s="35"/>
      <c r="BY92" s="35"/>
      <c r="BZ92" s="35"/>
      <c r="CA92" s="35"/>
      <c r="CB92" s="43"/>
      <c r="CC92" s="35"/>
      <c r="CD92" s="35"/>
      <c r="CE92" s="35"/>
      <c r="CF92" s="35"/>
      <c r="CG92" s="35"/>
      <c r="CH92" s="35"/>
      <c r="CI92" s="35"/>
      <c r="CJ92" s="35"/>
      <c r="CK92" s="35"/>
      <c r="CL92" s="35"/>
      <c r="CM92" s="35"/>
      <c r="CN92" s="35"/>
      <c r="CO92" s="35"/>
      <c r="CP92" s="35"/>
      <c r="CQ92" s="35"/>
    </row>
    <row r="93" spans="1:95" hidden="1" x14ac:dyDescent="0.25">
      <c r="A93" s="43"/>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35"/>
      <c r="AS93" s="35"/>
      <c r="AT93" s="35"/>
      <c r="AU93" s="35"/>
      <c r="AV93" s="35"/>
      <c r="AW93" s="35"/>
      <c r="AX93" s="35"/>
      <c r="AY93" s="35"/>
      <c r="AZ93" s="35"/>
      <c r="BA93" s="35"/>
      <c r="BB93" s="35"/>
      <c r="BC93" s="35"/>
      <c r="BD93" s="35"/>
      <c r="BE93" s="35"/>
      <c r="BF93" s="35"/>
      <c r="BG93" s="35"/>
      <c r="BH93" s="35"/>
      <c r="BI93" s="35"/>
      <c r="BJ93" s="35"/>
      <c r="BK93" s="35"/>
      <c r="BL93" s="35"/>
      <c r="BM93" s="35"/>
      <c r="BN93" s="35"/>
      <c r="BO93" s="35"/>
      <c r="BP93" s="35"/>
      <c r="BQ93" s="35"/>
      <c r="BR93" s="35"/>
      <c r="BS93" s="35"/>
      <c r="BT93" s="35"/>
      <c r="BU93" s="35"/>
      <c r="BV93" s="35"/>
      <c r="BW93" s="35"/>
      <c r="BX93" s="35"/>
      <c r="BY93" s="35"/>
      <c r="BZ93" s="35"/>
      <c r="CA93" s="35"/>
      <c r="CB93" s="43"/>
      <c r="CC93" s="35"/>
      <c r="CD93" s="35"/>
      <c r="CE93" s="35"/>
      <c r="CF93" s="35"/>
      <c r="CG93" s="35"/>
      <c r="CH93" s="35"/>
      <c r="CI93" s="35"/>
      <c r="CJ93" s="35"/>
      <c r="CK93" s="35"/>
      <c r="CL93" s="35"/>
      <c r="CM93" s="35"/>
      <c r="CN93" s="35"/>
      <c r="CO93" s="35"/>
      <c r="CP93" s="35"/>
      <c r="CQ93" s="35"/>
    </row>
  </sheetData>
  <mergeCells count="114">
    <mergeCell ref="BY80:CA80"/>
    <mergeCell ref="BD80:BF80"/>
    <mergeCell ref="BG80:BI80"/>
    <mergeCell ref="BJ80:BL80"/>
    <mergeCell ref="BM80:BO80"/>
    <mergeCell ref="BP80:BR80"/>
    <mergeCell ref="BS80:BU80"/>
    <mergeCell ref="AL80:AN80"/>
    <mergeCell ref="AO80:AQ80"/>
    <mergeCell ref="AR80:AT80"/>
    <mergeCell ref="AU80:AW80"/>
    <mergeCell ref="AX80:AZ80"/>
    <mergeCell ref="BA80:BC80"/>
    <mergeCell ref="A65:A67"/>
    <mergeCell ref="CB65:CB67"/>
    <mergeCell ref="CM65:CQ67"/>
    <mergeCell ref="A68:A70"/>
    <mergeCell ref="CB68:CB70"/>
    <mergeCell ref="A71:A73"/>
    <mergeCell ref="CB71:CB73"/>
    <mergeCell ref="T80:V80"/>
    <mergeCell ref="W80:Y80"/>
    <mergeCell ref="Z80:AB80"/>
    <mergeCell ref="AC80:AE80"/>
    <mergeCell ref="AF80:AH80"/>
    <mergeCell ref="AI80:AK80"/>
    <mergeCell ref="A74:A76"/>
    <mergeCell ref="CB74:CB76"/>
    <mergeCell ref="A77:A79"/>
    <mergeCell ref="CB77:CB79"/>
    <mergeCell ref="B80:D80"/>
    <mergeCell ref="E80:G80"/>
    <mergeCell ref="H80:J80"/>
    <mergeCell ref="K80:M80"/>
    <mergeCell ref="N80:P80"/>
    <mergeCell ref="Q80:S80"/>
    <mergeCell ref="BV80:BX80"/>
    <mergeCell ref="CM57:CQ58"/>
    <mergeCell ref="A59:A61"/>
    <mergeCell ref="CB59:CB61"/>
    <mergeCell ref="CM59:CQ62"/>
    <mergeCell ref="A62:A64"/>
    <mergeCell ref="CB62:CB64"/>
    <mergeCell ref="CM63:CQ64"/>
    <mergeCell ref="A53:A55"/>
    <mergeCell ref="CB53:CB55"/>
    <mergeCell ref="CF53:CF54"/>
    <mergeCell ref="CG53:CG54"/>
    <mergeCell ref="CM54:CQ56"/>
    <mergeCell ref="CF55:CF56"/>
    <mergeCell ref="CG55:CG56"/>
    <mergeCell ref="A56:A58"/>
    <mergeCell ref="CB56:CB58"/>
    <mergeCell ref="CC56:CE56"/>
    <mergeCell ref="A44:A46"/>
    <mergeCell ref="CB44:CB46"/>
    <mergeCell ref="A47:A49"/>
    <mergeCell ref="CB47:CB49"/>
    <mergeCell ref="A50:A52"/>
    <mergeCell ref="CB50:CB52"/>
    <mergeCell ref="A35:A37"/>
    <mergeCell ref="CB35:CB37"/>
    <mergeCell ref="A38:A40"/>
    <mergeCell ref="CB38:CB40"/>
    <mergeCell ref="A41:A43"/>
    <mergeCell ref="CB41:CB43"/>
    <mergeCell ref="A26:A28"/>
    <mergeCell ref="CB26:CB28"/>
    <mergeCell ref="A29:A31"/>
    <mergeCell ref="CB29:CB31"/>
    <mergeCell ref="A32:A34"/>
    <mergeCell ref="CB32:CB34"/>
    <mergeCell ref="A17:A19"/>
    <mergeCell ref="CB17:CB19"/>
    <mergeCell ref="A20:A22"/>
    <mergeCell ref="CB20:CB22"/>
    <mergeCell ref="A23:A25"/>
    <mergeCell ref="CB23:CB25"/>
    <mergeCell ref="A8:A10"/>
    <mergeCell ref="CB8:CB10"/>
    <mergeCell ref="A11:A13"/>
    <mergeCell ref="CB11:CB13"/>
    <mergeCell ref="A14:A16"/>
    <mergeCell ref="CB14:CB16"/>
    <mergeCell ref="BV1:BX1"/>
    <mergeCell ref="BY1:CA1"/>
    <mergeCell ref="A2:A4"/>
    <mergeCell ref="CB2:CB4"/>
    <mergeCell ref="A5:A7"/>
    <mergeCell ref="CB5:CB7"/>
    <mergeCell ref="BD1:BF1"/>
    <mergeCell ref="BG1:BI1"/>
    <mergeCell ref="BJ1:BL1"/>
    <mergeCell ref="BM1:BO1"/>
    <mergeCell ref="BP1:BR1"/>
    <mergeCell ref="BS1:BU1"/>
    <mergeCell ref="AL1:AN1"/>
    <mergeCell ref="AO1:AQ1"/>
    <mergeCell ref="AR1:AT1"/>
    <mergeCell ref="AU1:AW1"/>
    <mergeCell ref="AX1:AZ1"/>
    <mergeCell ref="BA1:BC1"/>
    <mergeCell ref="T1:V1"/>
    <mergeCell ref="W1:Y1"/>
    <mergeCell ref="Z1:AB1"/>
    <mergeCell ref="AC1:AE1"/>
    <mergeCell ref="AF1:AH1"/>
    <mergeCell ref="AI1:AK1"/>
    <mergeCell ref="B1:D1"/>
    <mergeCell ref="E1:G1"/>
    <mergeCell ref="H1:J1"/>
    <mergeCell ref="K1:M1"/>
    <mergeCell ref="N1:P1"/>
    <mergeCell ref="Q1:S1"/>
  </mergeCells>
  <conditionalFormatting sqref="CF65:CI79">
    <cfRule type="expression" dxfId="24" priority="2">
      <formula>$CF65=0</formula>
    </cfRule>
  </conditionalFormatting>
  <conditionalFormatting sqref="B2:CA79 CC57:CC63 CE57:CE63 CC65:CC79 CE7 CE17 CE27 CE37 CE47 CL7 CL17 CL27 CL37 CL47">
    <cfRule type="containsText" dxfId="23" priority="1" operator="containsText" text="OLD">
      <formula>NOT(ISERROR(SEARCH("OLD",B2)))</formula>
    </cfRule>
    <cfRule type="cellIs" dxfId="22" priority="3" stopIfTrue="1" operator="equal">
      <formula>"#"</formula>
    </cfRule>
    <cfRule type="containsText" dxfId="21" priority="4" stopIfTrue="1" operator="containsText" text="US c">
      <formula>NOT(ISERROR(SEARCH("US c",B2)))</formula>
    </cfRule>
    <cfRule type="endsWith" dxfId="20" priority="5" stopIfTrue="1" operator="endsWith" text="P">
      <formula>RIGHT(B2,LEN("P"))="P"</formula>
    </cfRule>
    <cfRule type="containsText" dxfId="19" priority="6" stopIfTrue="1" operator="containsText" text="US">
      <formula>NOT(ISERROR(SEARCH("US",B2)))</formula>
    </cfRule>
    <cfRule type="endsWith" dxfId="18" priority="7" stopIfTrue="1" operator="endsWith" text="V">
      <formula>RIGHT(B2,LEN("V"))="V"</formula>
    </cfRule>
    <cfRule type="endsWith" dxfId="17" priority="8" stopIfTrue="1" operator="endsWith" text="T">
      <formula>RIGHT(B2,LEN("T"))="T"</formula>
    </cfRule>
    <cfRule type="endsWith" dxfId="16" priority="9" stopIfTrue="1" operator="endsWith" text="C">
      <formula>RIGHT(B2,LEN("C"))="C"</formula>
    </cfRule>
    <cfRule type="containsText" dxfId="15" priority="10" stopIfTrue="1" operator="containsText" text="HU">
      <formula>NOT(ISERROR(SEARCH("HU",B2)))</formula>
    </cfRule>
    <cfRule type="containsText" dxfId="14" priority="11" stopIfTrue="1" operator="containsText" text="AN">
      <formula>NOT(ISERROR(SEARCH("AN",B2)))</formula>
    </cfRule>
    <cfRule type="containsText" dxfId="13" priority="12" stopIfTrue="1" operator="containsText" text="BL">
      <formula>NOT(ISERROR(SEARCH("BL",B2)))</formula>
    </cfRule>
    <cfRule type="containsText" dxfId="12" priority="13" stopIfTrue="1" operator="containsText" text="DA">
      <formula>NOT(ISERROR(SEARCH("DA",B2)))</formula>
    </cfRule>
    <cfRule type="containsText" dxfId="11" priority="14" stopIfTrue="1" operator="containsText" text="DE">
      <formula>NOT(ISERROR(SEARCH("DE",B2)))</formula>
    </cfRule>
    <cfRule type="containsText" dxfId="10" priority="15" stopIfTrue="1" operator="containsText" text="DW">
      <formula>NOT(ISERROR(SEARCH("DW",B2)))</formula>
    </cfRule>
    <cfRule type="containsText" dxfId="9" priority="16" stopIfTrue="1" operator="containsText" text="EL">
      <formula>NOT(ISERROR(SEARCH("EL",B2)))</formula>
    </cfRule>
    <cfRule type="containsText" dxfId="8" priority="17" stopIfTrue="1" operator="containsText" text="GI">
      <formula>NOT(ISERROR(SEARCH("GI",B2)))</formula>
    </cfRule>
    <cfRule type="containsText" dxfId="7" priority="18" stopIfTrue="1" operator="containsText" text="GN">
      <formula>NOT(ISERROR(SEARCH("GN",B2)))</formula>
    </cfRule>
    <cfRule type="containsText" dxfId="6" priority="19" stopIfTrue="1" operator="containsText" text="RA">
      <formula>NOT(ISERROR(SEARCH("RA",B2)))</formula>
    </cfRule>
    <cfRule type="containsText" dxfId="5" priority="20" stopIfTrue="1" operator="containsText" text="RD">
      <formula>NOT(ISERROR(SEARCH("RD",B2)))</formula>
    </cfRule>
    <cfRule type="containsText" dxfId="4" priority="21" stopIfTrue="1" operator="containsText" text="SO">
      <formula>NOT(ISERROR(SEARCH("SO",B2)))</formula>
    </cfRule>
    <cfRule type="containsText" dxfId="3" priority="22" stopIfTrue="1" operator="containsText" text="TR">
      <formula>NOT(ISERROR(SEARCH("TR",B2)))</formula>
    </cfRule>
    <cfRule type="containsText" dxfId="2" priority="23" stopIfTrue="1" operator="containsText" text="UN">
      <formula>NOT(ISERROR(SEARCH("UN",B2)))</formula>
    </cfRule>
    <cfRule type="containsText" dxfId="1" priority="24" stopIfTrue="1" operator="containsText" text="WA">
      <formula>NOT(ISERROR(SEARCH("WA",B2)))</formula>
    </cfRule>
    <cfRule type="containsText" dxfId="0" priority="25" stopIfTrue="1" operator="containsText" text="WI">
      <formula>NOT(ISERROR(SEARCH("WI",B2)))</formula>
    </cfRule>
  </conditionalFormatting>
  <dataValidations count="2">
    <dataValidation type="list" allowBlank="1" showInputMessage="1" showErrorMessage="1" sqref="CE7 CL7 CE17 CL17 CE27 CL27 CE37 CL37 CE47 CL47">
      <formula1>$CC$65:$CC$79</formula1>
    </dataValidation>
    <dataValidation type="whole" allowBlank="1" showInputMessage="1" showErrorMessage="1" errorTitle="ERROR!" error="Please enter a whole number between 0 and 40." sqref="CG55:CG56">
      <formula1>0</formula1>
      <formula2>40</formula2>
    </dataValidation>
  </dataValidations>
  <pageMargins left="0.7" right="0.7" top="0.75" bottom="0.75" header="0.3" footer="0.3"/>
  <pageSetup orientation="portrait"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Sheet2.LoadDATFile">
                <anchor moveWithCells="1" sizeWithCells="1">
                  <from>
                    <xdr:col>90</xdr:col>
                    <xdr:colOff>66675</xdr:colOff>
                    <xdr:row>68</xdr:row>
                    <xdr:rowOff>0</xdr:rowOff>
                  </from>
                  <to>
                    <xdr:col>94</xdr:col>
                    <xdr:colOff>285750</xdr:colOff>
                    <xdr:row>69</xdr:row>
                    <xdr:rowOff>200025</xdr:rowOff>
                  </to>
                </anchor>
              </controlPr>
            </control>
          </mc:Choice>
        </mc:AlternateContent>
        <mc:AlternateContent xmlns:mc="http://schemas.openxmlformats.org/markup-compatibility/2006">
          <mc:Choice Requires="x14">
            <control shapeId="2050" r:id="rId6" name="Button 2">
              <controlPr defaultSize="0" print="0" autoFill="0" autoPict="0" macro="[0]!Sheet2.LogManualChanges">
                <anchor moveWithCells="1" sizeWithCells="1">
                  <from>
                    <xdr:col>90</xdr:col>
                    <xdr:colOff>66675</xdr:colOff>
                    <xdr:row>70</xdr:row>
                    <xdr:rowOff>104775</xdr:rowOff>
                  </from>
                  <to>
                    <xdr:col>94</xdr:col>
                    <xdr:colOff>285750</xdr:colOff>
                    <xdr:row>72</xdr:row>
                    <xdr:rowOff>47625</xdr:rowOff>
                  </to>
                </anchor>
              </controlPr>
            </control>
          </mc:Choice>
        </mc:AlternateContent>
        <mc:AlternateContent xmlns:mc="http://schemas.openxmlformats.org/markup-compatibility/2006">
          <mc:Choice Requires="x14">
            <control shapeId="2051" r:id="rId7" name="Button 3">
              <controlPr defaultSize="0" print="0" autoFill="0" autoPict="0" macro="[0]!Sheet2.LoadManualChanges">
                <anchor moveWithCells="1" sizeWithCells="1">
                  <from>
                    <xdr:col>90</xdr:col>
                    <xdr:colOff>66675</xdr:colOff>
                    <xdr:row>72</xdr:row>
                    <xdr:rowOff>209550</xdr:rowOff>
                  </from>
                  <to>
                    <xdr:col>94</xdr:col>
                    <xdr:colOff>285750</xdr:colOff>
                    <xdr:row>74</xdr:row>
                    <xdr:rowOff>161925</xdr:rowOff>
                  </to>
                </anchor>
              </controlPr>
            </control>
          </mc:Choice>
        </mc:AlternateContent>
        <mc:AlternateContent xmlns:mc="http://schemas.openxmlformats.org/markup-compatibility/2006">
          <mc:Choice Requires="x14">
            <control shapeId="2052" r:id="rId8" name="Button 4">
              <controlPr defaultSize="0" print="0" autoFill="0" autoPict="0" macro="[0]!ClearManual">
                <anchor moveWithCells="1" sizeWithCells="1">
                  <from>
                    <xdr:col>90</xdr:col>
                    <xdr:colOff>66675</xdr:colOff>
                    <xdr:row>75</xdr:row>
                    <xdr:rowOff>66675</xdr:rowOff>
                  </from>
                  <to>
                    <xdr:col>94</xdr:col>
                    <xdr:colOff>285750</xdr:colOff>
                    <xdr:row>77</xdr:row>
                    <xdr:rowOff>9525</xdr:rowOff>
                  </to>
                </anchor>
              </controlPr>
            </control>
          </mc:Choice>
        </mc:AlternateContent>
        <mc:AlternateContent xmlns:mc="http://schemas.openxmlformats.org/markup-compatibility/2006">
          <mc:Choice Requires="x14">
            <control shapeId="2053" r:id="rId9" name="Button 5">
              <controlPr defaultSize="0" print="0" autoFill="0" autoPict="0" macro="[0]!ClearAllData">
                <anchor moveWithCells="1" sizeWithCells="1">
                  <from>
                    <xdr:col>90</xdr:col>
                    <xdr:colOff>66675</xdr:colOff>
                    <xdr:row>77</xdr:row>
                    <xdr:rowOff>171450</xdr:rowOff>
                  </from>
                  <to>
                    <xdr:col>94</xdr:col>
                    <xdr:colOff>285750</xdr:colOff>
                    <xdr:row>79</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90"/>
  <sheetViews>
    <sheetView zoomScale="80" zoomScaleNormal="80" workbookViewId="0">
      <pane ySplit="2" topLeftCell="A3" activePane="bottomLeft" state="frozen"/>
      <selection pane="bottomLeft" activeCell="B32" sqref="B32"/>
    </sheetView>
  </sheetViews>
  <sheetFormatPr defaultRowHeight="15" x14ac:dyDescent="0.25"/>
  <cols>
    <col min="1" max="1" width="3.42578125" bestFit="1" customWidth="1"/>
    <col min="2" max="2" width="16" bestFit="1" customWidth="1"/>
    <col min="5" max="5" width="3.42578125" bestFit="1" customWidth="1"/>
    <col min="6" max="6" width="16" bestFit="1" customWidth="1"/>
    <col min="9" max="9" width="3.42578125" bestFit="1" customWidth="1"/>
    <col min="10" max="10" width="16" bestFit="1" customWidth="1"/>
    <col min="13" max="13" width="3.42578125" bestFit="1" customWidth="1"/>
    <col min="14" max="14" width="16" bestFit="1" customWidth="1"/>
    <col min="17" max="17" width="3.42578125" bestFit="1" customWidth="1"/>
    <col min="18" max="18" width="16" bestFit="1" customWidth="1"/>
    <col min="21" max="21" width="3.42578125" bestFit="1" customWidth="1"/>
    <col min="22" max="22" width="16" bestFit="1" customWidth="1"/>
    <col min="25" max="25" width="3.42578125" bestFit="1" customWidth="1"/>
    <col min="26" max="26" width="16" bestFit="1" customWidth="1"/>
    <col min="29" max="29" width="3.42578125" bestFit="1" customWidth="1"/>
    <col min="30" max="30" width="16" bestFit="1" customWidth="1"/>
    <col min="33" max="33" width="3.42578125" bestFit="1" customWidth="1"/>
    <col min="34" max="34" width="16" bestFit="1" customWidth="1"/>
    <col min="37" max="37" width="3.42578125" bestFit="1" customWidth="1"/>
    <col min="38" max="38" width="16" bestFit="1" customWidth="1"/>
    <col min="41" max="41" width="3.42578125" bestFit="1" customWidth="1"/>
    <col min="42" max="42" width="16" bestFit="1" customWidth="1"/>
    <col min="45" max="45" width="3.42578125" bestFit="1" customWidth="1"/>
    <col min="46" max="46" width="16" bestFit="1" customWidth="1"/>
    <col min="49" max="49" width="3.42578125" bestFit="1" customWidth="1"/>
    <col min="50" max="50" width="16" bestFit="1" customWidth="1"/>
    <col min="53" max="53" width="3.42578125" bestFit="1" customWidth="1"/>
    <col min="54" max="54" width="16" bestFit="1" customWidth="1"/>
    <col min="57" max="57" width="3.42578125" bestFit="1" customWidth="1"/>
    <col min="58" max="58" width="16" bestFit="1" customWidth="1"/>
    <col min="61" max="61" width="3.42578125" bestFit="1" customWidth="1"/>
    <col min="62" max="62" width="16" bestFit="1" customWidth="1"/>
    <col min="65" max="65" width="3.42578125" bestFit="1" customWidth="1"/>
    <col min="66" max="66" width="16" bestFit="1" customWidth="1"/>
    <col min="69" max="69" width="3.42578125" bestFit="1" customWidth="1"/>
    <col min="70" max="70" width="16" bestFit="1" customWidth="1"/>
  </cols>
  <sheetData>
    <row r="1" spans="1:72" x14ac:dyDescent="0.25">
      <c r="A1" s="2"/>
      <c r="B1" s="3"/>
      <c r="C1" s="3" t="s">
        <v>13</v>
      </c>
      <c r="D1" s="4">
        <v>1</v>
      </c>
      <c r="E1" s="2"/>
      <c r="F1" s="3"/>
      <c r="G1" s="3" t="s">
        <v>13</v>
      </c>
      <c r="H1" s="4">
        <v>2</v>
      </c>
      <c r="I1" s="2"/>
      <c r="J1" s="3"/>
      <c r="K1" s="3" t="s">
        <v>13</v>
      </c>
      <c r="L1" s="4">
        <v>3</v>
      </c>
      <c r="M1" s="2"/>
      <c r="N1" s="3"/>
      <c r="O1" s="3" t="s">
        <v>13</v>
      </c>
      <c r="P1" s="4">
        <v>4</v>
      </c>
      <c r="Q1" s="2"/>
      <c r="R1" s="3"/>
      <c r="S1" s="3" t="s">
        <v>13</v>
      </c>
      <c r="T1" s="4">
        <v>5</v>
      </c>
      <c r="U1" s="2"/>
      <c r="V1" s="3"/>
      <c r="W1" s="3" t="s">
        <v>13</v>
      </c>
      <c r="X1" s="4">
        <v>6</v>
      </c>
      <c r="Y1" s="2"/>
      <c r="Z1" s="3"/>
      <c r="AA1" s="3" t="s">
        <v>13</v>
      </c>
      <c r="AB1" s="4">
        <v>7</v>
      </c>
      <c r="AC1" s="2"/>
      <c r="AD1" s="3"/>
      <c r="AE1" s="3" t="s">
        <v>13</v>
      </c>
      <c r="AF1" s="4">
        <v>8</v>
      </c>
      <c r="AG1" s="2"/>
      <c r="AH1" s="3"/>
      <c r="AI1" s="3" t="s">
        <v>13</v>
      </c>
      <c r="AJ1" s="4">
        <v>9</v>
      </c>
      <c r="AK1" s="2"/>
      <c r="AL1" s="3"/>
      <c r="AM1" s="3" t="s">
        <v>13</v>
      </c>
      <c r="AN1" s="4">
        <v>10</v>
      </c>
      <c r="AO1" s="2"/>
      <c r="AP1" s="3"/>
      <c r="AQ1" s="3" t="s">
        <v>13</v>
      </c>
      <c r="AR1" s="4">
        <v>11</v>
      </c>
      <c r="AS1" s="2"/>
      <c r="AT1" s="3"/>
      <c r="AU1" s="3" t="s">
        <v>13</v>
      </c>
      <c r="AV1" s="4">
        <v>12</v>
      </c>
      <c r="AW1" s="2"/>
      <c r="AX1" s="3"/>
      <c r="AY1" s="3" t="s">
        <v>13</v>
      </c>
      <c r="AZ1" s="4">
        <v>13</v>
      </c>
      <c r="BA1" s="2"/>
      <c r="BB1" s="3"/>
      <c r="BC1" s="3" t="s">
        <v>13</v>
      </c>
      <c r="BD1" s="4">
        <v>14</v>
      </c>
      <c r="BE1" s="2"/>
      <c r="BF1" s="3"/>
      <c r="BG1" s="3" t="s">
        <v>13</v>
      </c>
      <c r="BH1" s="4">
        <v>15</v>
      </c>
      <c r="BI1" s="2"/>
      <c r="BJ1" s="3"/>
      <c r="BK1" s="3" t="s">
        <v>13</v>
      </c>
      <c r="BL1" s="4">
        <v>16</v>
      </c>
      <c r="BM1" s="2"/>
      <c r="BN1" s="3"/>
      <c r="BO1" s="3" t="s">
        <v>13</v>
      </c>
      <c r="BP1" s="4">
        <v>17</v>
      </c>
      <c r="BQ1" s="2"/>
      <c r="BR1" s="3"/>
      <c r="BS1" s="3" t="s">
        <v>13</v>
      </c>
      <c r="BT1" s="4">
        <v>18</v>
      </c>
    </row>
    <row r="2" spans="1:72" x14ac:dyDescent="0.25">
      <c r="A2" s="5"/>
      <c r="B2" s="6" t="s">
        <v>12</v>
      </c>
      <c r="C2" s="6" t="s">
        <v>11</v>
      </c>
      <c r="D2" s="7" t="s">
        <v>10</v>
      </c>
      <c r="E2" s="5"/>
      <c r="F2" s="6" t="s">
        <v>12</v>
      </c>
      <c r="G2" s="6" t="s">
        <v>11</v>
      </c>
      <c r="H2" s="7" t="s">
        <v>10</v>
      </c>
      <c r="I2" s="5"/>
      <c r="J2" s="6" t="s">
        <v>12</v>
      </c>
      <c r="K2" s="6" t="s">
        <v>11</v>
      </c>
      <c r="L2" s="7" t="s">
        <v>10</v>
      </c>
      <c r="M2" s="5"/>
      <c r="N2" s="6" t="s">
        <v>12</v>
      </c>
      <c r="O2" s="6" t="s">
        <v>11</v>
      </c>
      <c r="P2" s="7" t="s">
        <v>10</v>
      </c>
      <c r="Q2" s="5"/>
      <c r="R2" s="6" t="s">
        <v>12</v>
      </c>
      <c r="S2" s="6" t="s">
        <v>11</v>
      </c>
      <c r="T2" s="7" t="s">
        <v>10</v>
      </c>
      <c r="U2" s="5"/>
      <c r="V2" s="6" t="s">
        <v>12</v>
      </c>
      <c r="W2" s="6" t="s">
        <v>11</v>
      </c>
      <c r="X2" s="7" t="s">
        <v>10</v>
      </c>
      <c r="Y2" s="5"/>
      <c r="Z2" s="6" t="s">
        <v>12</v>
      </c>
      <c r="AA2" s="6" t="s">
        <v>11</v>
      </c>
      <c r="AB2" s="7" t="s">
        <v>10</v>
      </c>
      <c r="AC2" s="5"/>
      <c r="AD2" s="6" t="s">
        <v>12</v>
      </c>
      <c r="AE2" s="6" t="s">
        <v>11</v>
      </c>
      <c r="AF2" s="7" t="s">
        <v>10</v>
      </c>
      <c r="AG2" s="5"/>
      <c r="AH2" s="6" t="s">
        <v>12</v>
      </c>
      <c r="AI2" s="6" t="s">
        <v>11</v>
      </c>
      <c r="AJ2" s="7" t="s">
        <v>10</v>
      </c>
      <c r="AK2" s="5"/>
      <c r="AL2" s="6" t="s">
        <v>12</v>
      </c>
      <c r="AM2" s="6" t="s">
        <v>11</v>
      </c>
      <c r="AN2" s="7" t="s">
        <v>10</v>
      </c>
      <c r="AO2" s="5"/>
      <c r="AP2" s="6" t="s">
        <v>12</v>
      </c>
      <c r="AQ2" s="6" t="s">
        <v>11</v>
      </c>
      <c r="AR2" s="7" t="s">
        <v>10</v>
      </c>
      <c r="AS2" s="5"/>
      <c r="AT2" s="6" t="s">
        <v>12</v>
      </c>
      <c r="AU2" s="6" t="s">
        <v>11</v>
      </c>
      <c r="AV2" s="7" t="s">
        <v>10</v>
      </c>
      <c r="AW2" s="5"/>
      <c r="AX2" s="6" t="s">
        <v>12</v>
      </c>
      <c r="AY2" s="6" t="s">
        <v>11</v>
      </c>
      <c r="AZ2" s="7" t="s">
        <v>10</v>
      </c>
      <c r="BA2" s="5"/>
      <c r="BB2" s="6" t="s">
        <v>12</v>
      </c>
      <c r="BC2" s="6" t="s">
        <v>11</v>
      </c>
      <c r="BD2" s="7" t="s">
        <v>10</v>
      </c>
      <c r="BE2" s="5"/>
      <c r="BF2" s="6" t="s">
        <v>12</v>
      </c>
      <c r="BG2" s="6" t="s">
        <v>11</v>
      </c>
      <c r="BH2" s="7" t="s">
        <v>10</v>
      </c>
      <c r="BI2" s="5"/>
      <c r="BJ2" s="6" t="s">
        <v>12</v>
      </c>
      <c r="BK2" s="6" t="s">
        <v>11</v>
      </c>
      <c r="BL2" s="7" t="s">
        <v>10</v>
      </c>
      <c r="BM2" s="5"/>
      <c r="BN2" s="6" t="s">
        <v>12</v>
      </c>
      <c r="BO2" s="6" t="s">
        <v>11</v>
      </c>
      <c r="BP2" s="7" t="s">
        <v>10</v>
      </c>
      <c r="BQ2" s="5"/>
      <c r="BR2" s="6" t="s">
        <v>12</v>
      </c>
      <c r="BS2" s="6" t="s">
        <v>11</v>
      </c>
      <c r="BT2" s="7" t="s">
        <v>10</v>
      </c>
    </row>
    <row r="3" spans="1:72" x14ac:dyDescent="0.25">
      <c r="A3" s="13"/>
      <c r="B3" s="14"/>
      <c r="C3" s="27">
        <v>20000</v>
      </c>
      <c r="D3" s="28">
        <v>20000</v>
      </c>
      <c r="E3" s="13"/>
      <c r="F3" s="14"/>
      <c r="G3" s="15">
        <f>C83</f>
        <v>23280</v>
      </c>
      <c r="H3" s="16">
        <f>D83</f>
        <v>31500</v>
      </c>
      <c r="I3" s="13"/>
      <c r="J3" s="14"/>
      <c r="K3" s="15">
        <f>G83</f>
        <v>25904</v>
      </c>
      <c r="L3" s="16">
        <f>H83</f>
        <v>43000</v>
      </c>
      <c r="M3" s="13"/>
      <c r="N3" s="14"/>
      <c r="O3" s="15">
        <f>K83</f>
        <v>28003</v>
      </c>
      <c r="P3" s="16">
        <f>L83</f>
        <v>54500</v>
      </c>
      <c r="Q3" s="13"/>
      <c r="R3" s="14"/>
      <c r="S3" s="15">
        <f>O83</f>
        <v>29682</v>
      </c>
      <c r="T3" s="16">
        <f>P83</f>
        <v>68000</v>
      </c>
      <c r="U3" s="13"/>
      <c r="V3" s="14"/>
      <c r="W3" s="15">
        <f>S83</f>
        <v>31026</v>
      </c>
      <c r="X3" s="16">
        <f>T83</f>
        <v>79500</v>
      </c>
      <c r="Y3" s="13"/>
      <c r="Z3" s="14"/>
      <c r="AA3" s="15">
        <f>W83</f>
        <v>32101</v>
      </c>
      <c r="AB3" s="16">
        <f>X83</f>
        <v>91000</v>
      </c>
      <c r="AC3" s="13"/>
      <c r="AD3" s="14"/>
      <c r="AE3" s="15">
        <f>AA83</f>
        <v>35013</v>
      </c>
      <c r="AF3" s="16">
        <f>AB83</f>
        <v>109750</v>
      </c>
      <c r="AG3" s="13"/>
      <c r="AH3" s="14"/>
      <c r="AI3" s="15">
        <f>AE83</f>
        <v>35290</v>
      </c>
      <c r="AJ3" s="16">
        <f>AF83</f>
        <v>121250</v>
      </c>
      <c r="AK3" s="13"/>
      <c r="AL3" s="14"/>
      <c r="AM3" s="15">
        <f>AI83</f>
        <v>35512</v>
      </c>
      <c r="AN3" s="16">
        <f>AJ83</f>
        <v>132750</v>
      </c>
      <c r="AO3" s="13"/>
      <c r="AP3" s="14"/>
      <c r="AQ3" s="15">
        <f>AM83</f>
        <v>35690</v>
      </c>
      <c r="AR3" s="16">
        <f>AN83</f>
        <v>144250</v>
      </c>
      <c r="AS3" s="13"/>
      <c r="AT3" s="14"/>
      <c r="AU3" s="15">
        <f>AQ83</f>
        <v>35832</v>
      </c>
      <c r="AV3" s="16">
        <f>AR83</f>
        <v>155750</v>
      </c>
      <c r="AW3" s="13"/>
      <c r="AX3" s="14"/>
      <c r="AY3" s="15">
        <f>AU83</f>
        <v>35946</v>
      </c>
      <c r="AZ3" s="16">
        <f>AV83</f>
        <v>167250</v>
      </c>
      <c r="BA3" s="13"/>
      <c r="BB3" s="14"/>
      <c r="BC3" s="15">
        <f>AY83</f>
        <v>36037</v>
      </c>
      <c r="BD3" s="16">
        <f>AZ83</f>
        <v>178750</v>
      </c>
      <c r="BE3" s="13"/>
      <c r="BF3" s="14"/>
      <c r="BG3" s="15">
        <f>BC83</f>
        <v>36110</v>
      </c>
      <c r="BH3" s="16">
        <f>BD83</f>
        <v>190250</v>
      </c>
      <c r="BI3" s="13"/>
      <c r="BJ3" s="14"/>
      <c r="BK3" s="15">
        <f>BG83</f>
        <v>36168</v>
      </c>
      <c r="BL3" s="16">
        <f>BH83</f>
        <v>201750</v>
      </c>
      <c r="BM3" s="13"/>
      <c r="BN3" s="14"/>
      <c r="BO3" s="15">
        <f>BK83</f>
        <v>36214</v>
      </c>
      <c r="BP3" s="16">
        <f>BL83</f>
        <v>213250</v>
      </c>
      <c r="BQ3" s="13"/>
      <c r="BR3" s="14"/>
      <c r="BS3" s="15">
        <f>BO83</f>
        <v>36251</v>
      </c>
      <c r="BT3" s="16">
        <f>BP83</f>
        <v>224750</v>
      </c>
    </row>
    <row r="4" spans="1:72" x14ac:dyDescent="0.25">
      <c r="A4" s="5"/>
      <c r="B4" s="8"/>
      <c r="C4" s="9"/>
      <c r="D4" s="10"/>
      <c r="E4" s="5"/>
      <c r="F4" s="8"/>
      <c r="G4" s="9"/>
      <c r="H4" s="10"/>
      <c r="I4" s="5"/>
      <c r="J4" s="8"/>
      <c r="K4" s="9"/>
      <c r="L4" s="10"/>
      <c r="M4" s="5"/>
      <c r="N4" s="8"/>
      <c r="O4" s="9"/>
      <c r="P4" s="10"/>
      <c r="Q4" s="5"/>
      <c r="R4" s="8"/>
      <c r="S4" s="9"/>
      <c r="T4" s="10"/>
      <c r="U4" s="5"/>
      <c r="V4" s="8"/>
      <c r="W4" s="9"/>
      <c r="X4" s="10"/>
      <c r="Y4" s="5"/>
      <c r="Z4" s="8"/>
      <c r="AA4" s="9"/>
      <c r="AB4" s="10"/>
      <c r="AC4" s="5"/>
      <c r="AD4" s="8"/>
      <c r="AE4" s="9"/>
      <c r="AF4" s="10"/>
      <c r="AG4" s="5"/>
      <c r="AH4" s="8"/>
      <c r="AI4" s="9"/>
      <c r="AJ4" s="10"/>
      <c r="AK4" s="5"/>
      <c r="AL4" s="8"/>
      <c r="AM4" s="9"/>
      <c r="AN4" s="10"/>
      <c r="AO4" s="5"/>
      <c r="AP4" s="8"/>
      <c r="AQ4" s="9"/>
      <c r="AR4" s="10"/>
      <c r="AS4" s="5"/>
      <c r="AT4" s="8"/>
      <c r="AU4" s="9"/>
      <c r="AV4" s="10"/>
      <c r="AW4" s="5"/>
      <c r="AX4" s="8"/>
      <c r="AY4" s="9"/>
      <c r="AZ4" s="10"/>
      <c r="BA4" s="5"/>
      <c r="BB4" s="8"/>
      <c r="BC4" s="9"/>
      <c r="BD4" s="10"/>
      <c r="BE4" s="5"/>
      <c r="BF4" s="8"/>
      <c r="BG4" s="9"/>
      <c r="BH4" s="10"/>
      <c r="BI4" s="5"/>
      <c r="BJ4" s="8"/>
      <c r="BK4" s="9"/>
      <c r="BL4" s="10"/>
      <c r="BM4" s="5"/>
      <c r="BN4" s="8"/>
      <c r="BO4" s="9"/>
      <c r="BP4" s="10"/>
      <c r="BQ4" s="5"/>
      <c r="BR4" s="8"/>
      <c r="BS4" s="9"/>
      <c r="BT4" s="10"/>
    </row>
    <row r="5" spans="1:72" x14ac:dyDescent="0.25">
      <c r="A5" s="5">
        <v>1</v>
      </c>
      <c r="B5" s="29" t="s">
        <v>63</v>
      </c>
      <c r="C5" s="30">
        <v>800</v>
      </c>
      <c r="D5" s="31">
        <v>8000</v>
      </c>
      <c r="E5" s="5">
        <v>1</v>
      </c>
      <c r="F5" s="8" t="str">
        <f>B5</f>
        <v>Capital</v>
      </c>
      <c r="G5" s="9">
        <f>C5</f>
        <v>800</v>
      </c>
      <c r="H5" s="10">
        <f>D5</f>
        <v>8000</v>
      </c>
      <c r="I5" s="5">
        <v>1</v>
      </c>
      <c r="J5" s="8" t="str">
        <f>F5</f>
        <v>Capital</v>
      </c>
      <c r="K5" s="9">
        <f>G5</f>
        <v>800</v>
      </c>
      <c r="L5" s="10">
        <f>H5</f>
        <v>8000</v>
      </c>
      <c r="M5" s="5">
        <v>1</v>
      </c>
      <c r="N5" s="8" t="str">
        <f>J5</f>
        <v>Capital</v>
      </c>
      <c r="O5" s="9">
        <f>K5</f>
        <v>800</v>
      </c>
      <c r="P5" s="10">
        <f>L5</f>
        <v>8000</v>
      </c>
      <c r="Q5" s="5">
        <v>1</v>
      </c>
      <c r="R5" s="8" t="str">
        <f>N5</f>
        <v>Capital</v>
      </c>
      <c r="S5" s="9">
        <f>O5</f>
        <v>800</v>
      </c>
      <c r="T5" s="10">
        <f>P5</f>
        <v>8000</v>
      </c>
      <c r="U5" s="5">
        <v>1</v>
      </c>
      <c r="V5" s="8" t="str">
        <f>R5</f>
        <v>Capital</v>
      </c>
      <c r="W5" s="9">
        <f>S5</f>
        <v>800</v>
      </c>
      <c r="X5" s="10">
        <f>T5</f>
        <v>8000</v>
      </c>
      <c r="Y5" s="5">
        <v>1</v>
      </c>
      <c r="Z5" s="8" t="str">
        <f>V5</f>
        <v>Capital</v>
      </c>
      <c r="AA5" s="9">
        <f>W5</f>
        <v>800</v>
      </c>
      <c r="AB5" s="10">
        <f>X5</f>
        <v>8000</v>
      </c>
      <c r="AC5" s="5">
        <v>1</v>
      </c>
      <c r="AD5" s="8" t="str">
        <f>Z5</f>
        <v>Capital</v>
      </c>
      <c r="AE5" s="9">
        <f>AA5</f>
        <v>800</v>
      </c>
      <c r="AF5" s="10">
        <f>AB5</f>
        <v>8000</v>
      </c>
      <c r="AG5" s="5">
        <v>1</v>
      </c>
      <c r="AH5" s="8" t="str">
        <f>AD5</f>
        <v>Capital</v>
      </c>
      <c r="AI5" s="9">
        <f>AE5</f>
        <v>800</v>
      </c>
      <c r="AJ5" s="10">
        <f>AF5</f>
        <v>8000</v>
      </c>
      <c r="AK5" s="5">
        <v>1</v>
      </c>
      <c r="AL5" s="8" t="str">
        <f>AH5</f>
        <v>Capital</v>
      </c>
      <c r="AM5" s="9">
        <f>AI5</f>
        <v>800</v>
      </c>
      <c r="AN5" s="10">
        <f>AJ5</f>
        <v>8000</v>
      </c>
      <c r="AO5" s="5">
        <v>1</v>
      </c>
      <c r="AP5" s="8" t="str">
        <f>AL5</f>
        <v>Capital</v>
      </c>
      <c r="AQ5" s="9">
        <f>AM5</f>
        <v>800</v>
      </c>
      <c r="AR5" s="10">
        <f>AN5</f>
        <v>8000</v>
      </c>
      <c r="AS5" s="5">
        <v>1</v>
      </c>
      <c r="AT5" s="8" t="str">
        <f>AP5</f>
        <v>Capital</v>
      </c>
      <c r="AU5" s="9">
        <f>AQ5</f>
        <v>800</v>
      </c>
      <c r="AV5" s="10">
        <f>AR5</f>
        <v>8000</v>
      </c>
      <c r="AW5" s="5">
        <v>1</v>
      </c>
      <c r="AX5" s="8" t="str">
        <f>AT5</f>
        <v>Capital</v>
      </c>
      <c r="AY5" s="9">
        <f>AU5</f>
        <v>800</v>
      </c>
      <c r="AZ5" s="10">
        <f>AV5</f>
        <v>8000</v>
      </c>
      <c r="BA5" s="5">
        <v>1</v>
      </c>
      <c r="BB5" s="8" t="str">
        <f>AX5</f>
        <v>Capital</v>
      </c>
      <c r="BC5" s="9">
        <f>AY5</f>
        <v>800</v>
      </c>
      <c r="BD5" s="10">
        <f>AZ5</f>
        <v>8000</v>
      </c>
      <c r="BE5" s="5">
        <v>1</v>
      </c>
      <c r="BF5" s="8" t="str">
        <f>BB5</f>
        <v>Capital</v>
      </c>
      <c r="BG5" s="9">
        <f>BC5</f>
        <v>800</v>
      </c>
      <c r="BH5" s="10">
        <f>BD5</f>
        <v>8000</v>
      </c>
      <c r="BI5" s="5">
        <v>1</v>
      </c>
      <c r="BJ5" s="8" t="str">
        <f>BF5</f>
        <v>Capital</v>
      </c>
      <c r="BK5" s="9">
        <f>BG5</f>
        <v>800</v>
      </c>
      <c r="BL5" s="10">
        <f>BH5</f>
        <v>8000</v>
      </c>
      <c r="BM5" s="5">
        <v>1</v>
      </c>
      <c r="BN5" s="8" t="str">
        <f>BJ5</f>
        <v>Capital</v>
      </c>
      <c r="BO5" s="9">
        <f>BK5</f>
        <v>800</v>
      </c>
      <c r="BP5" s="10">
        <f>BL5</f>
        <v>8000</v>
      </c>
      <c r="BQ5" s="5">
        <v>1</v>
      </c>
      <c r="BR5" s="8" t="str">
        <f>BN5</f>
        <v>Capital</v>
      </c>
      <c r="BS5" s="9">
        <f>BO5</f>
        <v>800</v>
      </c>
      <c r="BT5" s="10">
        <f>BP5</f>
        <v>8000</v>
      </c>
    </row>
    <row r="6" spans="1:72" x14ac:dyDescent="0.25">
      <c r="A6" s="5">
        <f>A5+1</f>
        <v>2</v>
      </c>
      <c r="B6" s="29" t="s">
        <v>64</v>
      </c>
      <c r="C6" s="30">
        <v>800</v>
      </c>
      <c r="D6" s="31">
        <v>8000</v>
      </c>
      <c r="E6" s="5">
        <f>E5+1</f>
        <v>2</v>
      </c>
      <c r="F6" s="8" t="str">
        <f t="shared" ref="F6:F8" si="0">B6</f>
        <v>Town</v>
      </c>
      <c r="G6" s="9">
        <f t="shared" ref="G6:G8" si="1">C6</f>
        <v>800</v>
      </c>
      <c r="H6" s="10">
        <f t="shared" ref="H6:H8" si="2">D6</f>
        <v>8000</v>
      </c>
      <c r="I6" s="5">
        <f>I5+1</f>
        <v>2</v>
      </c>
      <c r="J6" s="8" t="str">
        <f t="shared" ref="J6:J8" si="3">F6</f>
        <v>Town</v>
      </c>
      <c r="K6" s="9">
        <f t="shared" ref="K6:K8" si="4">G6</f>
        <v>800</v>
      </c>
      <c r="L6" s="10">
        <f t="shared" ref="L6:L8" si="5">H6</f>
        <v>8000</v>
      </c>
      <c r="M6" s="5">
        <f>M5+1</f>
        <v>2</v>
      </c>
      <c r="N6" s="8" t="str">
        <f t="shared" ref="N6:N8" si="6">J6</f>
        <v>Town</v>
      </c>
      <c r="O6" s="9">
        <f t="shared" ref="O6:O8" si="7">K6</f>
        <v>800</v>
      </c>
      <c r="P6" s="10">
        <f t="shared" ref="P6:P8" si="8">L6</f>
        <v>8000</v>
      </c>
      <c r="Q6" s="5">
        <f>Q5+1</f>
        <v>2</v>
      </c>
      <c r="R6" s="8" t="str">
        <f t="shared" ref="R6:R8" si="9">N6</f>
        <v>Town</v>
      </c>
      <c r="S6" s="9">
        <f t="shared" ref="S6:S8" si="10">O6</f>
        <v>800</v>
      </c>
      <c r="T6" s="10">
        <f t="shared" ref="T6:T8" si="11">P6</f>
        <v>8000</v>
      </c>
      <c r="U6" s="5">
        <f>U5+1</f>
        <v>2</v>
      </c>
      <c r="V6" s="8" t="str">
        <f t="shared" ref="V6:V8" si="12">R6</f>
        <v>Town</v>
      </c>
      <c r="W6" s="9">
        <f t="shared" ref="W6:W8" si="13">S6</f>
        <v>800</v>
      </c>
      <c r="X6" s="10">
        <f t="shared" ref="X6:X8" si="14">T6</f>
        <v>8000</v>
      </c>
      <c r="Y6" s="5">
        <f>Y5+1</f>
        <v>2</v>
      </c>
      <c r="Z6" s="8" t="str">
        <f t="shared" ref="Z6:Z8" si="15">V6</f>
        <v>Town</v>
      </c>
      <c r="AA6" s="9">
        <f t="shared" ref="AA6:AA8" si="16">W6</f>
        <v>800</v>
      </c>
      <c r="AB6" s="10">
        <f t="shared" ref="AB6:AB8" si="17">X6</f>
        <v>8000</v>
      </c>
      <c r="AC6" s="5">
        <f>AC5+1</f>
        <v>2</v>
      </c>
      <c r="AD6" s="8" t="str">
        <f t="shared" ref="AD6:AD8" si="18">Z6</f>
        <v>Town</v>
      </c>
      <c r="AE6" s="9">
        <f t="shared" ref="AE6:AE8" si="19">AA6</f>
        <v>800</v>
      </c>
      <c r="AF6" s="10">
        <f t="shared" ref="AF6:AF8" si="20">AB6</f>
        <v>8000</v>
      </c>
      <c r="AG6" s="5">
        <f>AG5+1</f>
        <v>2</v>
      </c>
      <c r="AH6" s="8" t="str">
        <f t="shared" ref="AH6:AH8" si="21">AD6</f>
        <v>Town</v>
      </c>
      <c r="AI6" s="9">
        <f t="shared" ref="AI6:AI8" si="22">AE6</f>
        <v>800</v>
      </c>
      <c r="AJ6" s="10">
        <f t="shared" ref="AJ6:AJ8" si="23">AF6</f>
        <v>8000</v>
      </c>
      <c r="AK6" s="5">
        <f>AK5+1</f>
        <v>2</v>
      </c>
      <c r="AL6" s="8" t="str">
        <f t="shared" ref="AL6:AL8" si="24">AH6</f>
        <v>Town</v>
      </c>
      <c r="AM6" s="9">
        <f t="shared" ref="AM6:AM8" si="25">AI6</f>
        <v>800</v>
      </c>
      <c r="AN6" s="10">
        <f t="shared" ref="AN6:AN8" si="26">AJ6</f>
        <v>8000</v>
      </c>
      <c r="AO6" s="5">
        <f>AO5+1</f>
        <v>2</v>
      </c>
      <c r="AP6" s="8" t="str">
        <f t="shared" ref="AP6:AP8" si="27">AL6</f>
        <v>Town</v>
      </c>
      <c r="AQ6" s="9">
        <f t="shared" ref="AQ6:AQ8" si="28">AM6</f>
        <v>800</v>
      </c>
      <c r="AR6" s="10">
        <f t="shared" ref="AR6:AR8" si="29">AN6</f>
        <v>8000</v>
      </c>
      <c r="AS6" s="5">
        <f>AS5+1</f>
        <v>2</v>
      </c>
      <c r="AT6" s="8" t="str">
        <f t="shared" ref="AT6:AT8" si="30">AP6</f>
        <v>Town</v>
      </c>
      <c r="AU6" s="9">
        <f t="shared" ref="AU6:AU8" si="31">AQ6</f>
        <v>800</v>
      </c>
      <c r="AV6" s="10">
        <f t="shared" ref="AV6:AV8" si="32">AR6</f>
        <v>8000</v>
      </c>
      <c r="AW6" s="5">
        <f>AW5+1</f>
        <v>2</v>
      </c>
      <c r="AX6" s="8" t="str">
        <f t="shared" ref="AX6:AX8" si="33">AT6</f>
        <v>Town</v>
      </c>
      <c r="AY6" s="9">
        <f t="shared" ref="AY6:AY8" si="34">AU6</f>
        <v>800</v>
      </c>
      <c r="AZ6" s="10">
        <f t="shared" ref="AZ6:AZ8" si="35">AV6</f>
        <v>8000</v>
      </c>
      <c r="BA6" s="5">
        <f>BA5+1</f>
        <v>2</v>
      </c>
      <c r="BB6" s="8" t="str">
        <f t="shared" ref="BB6:BB8" si="36">AX6</f>
        <v>Town</v>
      </c>
      <c r="BC6" s="9">
        <f t="shared" ref="BC6:BC8" si="37">AY6</f>
        <v>800</v>
      </c>
      <c r="BD6" s="10">
        <f t="shared" ref="BD6:BD8" si="38">AZ6</f>
        <v>8000</v>
      </c>
      <c r="BE6" s="5">
        <f>BE5+1</f>
        <v>2</v>
      </c>
      <c r="BF6" s="8" t="str">
        <f t="shared" ref="BF6:BF8" si="39">BB6</f>
        <v>Town</v>
      </c>
      <c r="BG6" s="9">
        <f t="shared" ref="BG6:BG8" si="40">BC6</f>
        <v>800</v>
      </c>
      <c r="BH6" s="10">
        <f t="shared" ref="BH6:BH8" si="41">BD6</f>
        <v>8000</v>
      </c>
      <c r="BI6" s="5">
        <f>BI5+1</f>
        <v>2</v>
      </c>
      <c r="BJ6" s="8" t="str">
        <f t="shared" ref="BJ6:BJ8" si="42">BF6</f>
        <v>Town</v>
      </c>
      <c r="BK6" s="9">
        <f t="shared" ref="BK6:BK8" si="43">BG6</f>
        <v>800</v>
      </c>
      <c r="BL6" s="10">
        <f t="shared" ref="BL6:BL8" si="44">BH6</f>
        <v>8000</v>
      </c>
      <c r="BM6" s="5">
        <f>BM5+1</f>
        <v>2</v>
      </c>
      <c r="BN6" s="8" t="str">
        <f t="shared" ref="BN6:BN8" si="45">BJ6</f>
        <v>Town</v>
      </c>
      <c r="BO6" s="9">
        <f t="shared" ref="BO6:BO8" si="46">BK6</f>
        <v>800</v>
      </c>
      <c r="BP6" s="10">
        <f t="shared" ref="BP6:BP8" si="47">BL6</f>
        <v>8000</v>
      </c>
      <c r="BQ6" s="5">
        <f>BQ5+1</f>
        <v>2</v>
      </c>
      <c r="BR6" s="8" t="str">
        <f t="shared" ref="BR6:BR8" si="48">BN6</f>
        <v>Town</v>
      </c>
      <c r="BS6" s="9">
        <f t="shared" ref="BS6:BS8" si="49">BO6</f>
        <v>800</v>
      </c>
      <c r="BT6" s="10">
        <f t="shared" ref="BT6:BT8" si="50">BP6</f>
        <v>8000</v>
      </c>
    </row>
    <row r="7" spans="1:72" x14ac:dyDescent="0.25">
      <c r="A7" s="5">
        <f t="shared" ref="A7:A34" si="51">A6+1</f>
        <v>3</v>
      </c>
      <c r="B7" s="29" t="s">
        <v>65</v>
      </c>
      <c r="C7" s="30">
        <v>8000</v>
      </c>
      <c r="D7" s="31">
        <v>2000</v>
      </c>
      <c r="E7" s="5">
        <f t="shared" ref="E7:E34" si="52">E6+1</f>
        <v>3</v>
      </c>
      <c r="F7" s="8" t="str">
        <f t="shared" si="0"/>
        <v>Village</v>
      </c>
      <c r="G7" s="9">
        <f t="shared" si="1"/>
        <v>8000</v>
      </c>
      <c r="H7" s="10">
        <f t="shared" si="2"/>
        <v>2000</v>
      </c>
      <c r="I7" s="5">
        <f t="shared" ref="I7:I34" si="53">I6+1</f>
        <v>3</v>
      </c>
      <c r="J7" s="8" t="str">
        <f t="shared" si="3"/>
        <v>Village</v>
      </c>
      <c r="K7" s="9">
        <f t="shared" si="4"/>
        <v>8000</v>
      </c>
      <c r="L7" s="10">
        <f t="shared" si="5"/>
        <v>2000</v>
      </c>
      <c r="M7" s="5">
        <f t="shared" ref="M7:M34" si="54">M6+1</f>
        <v>3</v>
      </c>
      <c r="N7" s="8" t="str">
        <f t="shared" si="6"/>
        <v>Village</v>
      </c>
      <c r="O7" s="9">
        <f t="shared" si="7"/>
        <v>8000</v>
      </c>
      <c r="P7" s="10">
        <f t="shared" si="8"/>
        <v>2000</v>
      </c>
      <c r="Q7" s="5">
        <f t="shared" ref="Q7:Q34" si="55">Q6+1</f>
        <v>3</v>
      </c>
      <c r="R7" s="8" t="str">
        <f t="shared" si="9"/>
        <v>Village</v>
      </c>
      <c r="S7" s="9">
        <f t="shared" si="10"/>
        <v>8000</v>
      </c>
      <c r="T7" s="10">
        <f t="shared" si="11"/>
        <v>2000</v>
      </c>
      <c r="U7" s="5">
        <f t="shared" ref="U7:U34" si="56">U6+1</f>
        <v>3</v>
      </c>
      <c r="V7" s="8" t="str">
        <f t="shared" si="12"/>
        <v>Village</v>
      </c>
      <c r="W7" s="9">
        <f t="shared" si="13"/>
        <v>8000</v>
      </c>
      <c r="X7" s="10">
        <f t="shared" si="14"/>
        <v>2000</v>
      </c>
      <c r="Y7" s="5">
        <f t="shared" ref="Y7:Y34" si="57">Y6+1</f>
        <v>3</v>
      </c>
      <c r="Z7" s="8" t="str">
        <f t="shared" si="15"/>
        <v>Village</v>
      </c>
      <c r="AA7" s="9">
        <f t="shared" si="16"/>
        <v>8000</v>
      </c>
      <c r="AB7" s="10">
        <f t="shared" si="17"/>
        <v>2000</v>
      </c>
      <c r="AC7" s="5">
        <f t="shared" ref="AC7:AC34" si="58">AC6+1</f>
        <v>3</v>
      </c>
      <c r="AD7" s="8" t="str">
        <f t="shared" si="18"/>
        <v>Village</v>
      </c>
      <c r="AE7" s="9">
        <f t="shared" si="19"/>
        <v>8000</v>
      </c>
      <c r="AF7" s="10">
        <f t="shared" si="20"/>
        <v>2000</v>
      </c>
      <c r="AG7" s="5">
        <f t="shared" ref="AG7:AG34" si="59">AG6+1</f>
        <v>3</v>
      </c>
      <c r="AH7" s="8" t="str">
        <f t="shared" si="21"/>
        <v>Village</v>
      </c>
      <c r="AI7" s="9">
        <f t="shared" si="22"/>
        <v>8000</v>
      </c>
      <c r="AJ7" s="10">
        <f t="shared" si="23"/>
        <v>2000</v>
      </c>
      <c r="AK7" s="5">
        <f t="shared" ref="AK7:AK34" si="60">AK6+1</f>
        <v>3</v>
      </c>
      <c r="AL7" s="8" t="str">
        <f t="shared" si="24"/>
        <v>Village</v>
      </c>
      <c r="AM7" s="9">
        <f t="shared" si="25"/>
        <v>8000</v>
      </c>
      <c r="AN7" s="10">
        <f t="shared" si="26"/>
        <v>2000</v>
      </c>
      <c r="AO7" s="5">
        <f t="shared" ref="AO7:AO34" si="61">AO6+1</f>
        <v>3</v>
      </c>
      <c r="AP7" s="8" t="str">
        <f t="shared" si="27"/>
        <v>Village</v>
      </c>
      <c r="AQ7" s="9">
        <f t="shared" si="28"/>
        <v>8000</v>
      </c>
      <c r="AR7" s="10">
        <f t="shared" si="29"/>
        <v>2000</v>
      </c>
      <c r="AS7" s="5">
        <f t="shared" ref="AS7:AS34" si="62">AS6+1</f>
        <v>3</v>
      </c>
      <c r="AT7" s="8" t="str">
        <f t="shared" si="30"/>
        <v>Village</v>
      </c>
      <c r="AU7" s="9">
        <f t="shared" si="31"/>
        <v>8000</v>
      </c>
      <c r="AV7" s="10">
        <f t="shared" si="32"/>
        <v>2000</v>
      </c>
      <c r="AW7" s="5">
        <f t="shared" ref="AW7:AW34" si="63">AW6+1</f>
        <v>3</v>
      </c>
      <c r="AX7" s="8" t="str">
        <f t="shared" si="33"/>
        <v>Village</v>
      </c>
      <c r="AY7" s="9">
        <f t="shared" si="34"/>
        <v>8000</v>
      </c>
      <c r="AZ7" s="10">
        <f t="shared" si="35"/>
        <v>2000</v>
      </c>
      <c r="BA7" s="5">
        <f t="shared" ref="BA7:BA34" si="64">BA6+1</f>
        <v>3</v>
      </c>
      <c r="BB7" s="8" t="str">
        <f t="shared" si="36"/>
        <v>Village</v>
      </c>
      <c r="BC7" s="9">
        <f t="shared" si="37"/>
        <v>8000</v>
      </c>
      <c r="BD7" s="10">
        <f t="shared" si="38"/>
        <v>2000</v>
      </c>
      <c r="BE7" s="5">
        <f t="shared" ref="BE7:BE34" si="65">BE6+1</f>
        <v>3</v>
      </c>
      <c r="BF7" s="8" t="str">
        <f t="shared" si="39"/>
        <v>Village</v>
      </c>
      <c r="BG7" s="9">
        <f t="shared" si="40"/>
        <v>8000</v>
      </c>
      <c r="BH7" s="10">
        <f t="shared" si="41"/>
        <v>2000</v>
      </c>
      <c r="BI7" s="5">
        <f t="shared" ref="BI7:BI34" si="66">BI6+1</f>
        <v>3</v>
      </c>
      <c r="BJ7" s="8" t="str">
        <f t="shared" si="42"/>
        <v>Village</v>
      </c>
      <c r="BK7" s="9">
        <f t="shared" si="43"/>
        <v>8000</v>
      </c>
      <c r="BL7" s="10">
        <f t="shared" si="44"/>
        <v>2000</v>
      </c>
      <c r="BM7" s="5">
        <f t="shared" ref="BM7:BM34" si="67">BM6+1</f>
        <v>3</v>
      </c>
      <c r="BN7" s="8" t="str">
        <f t="shared" si="45"/>
        <v>Village</v>
      </c>
      <c r="BO7" s="9">
        <f t="shared" si="46"/>
        <v>8000</v>
      </c>
      <c r="BP7" s="10">
        <f t="shared" si="47"/>
        <v>2000</v>
      </c>
      <c r="BQ7" s="5">
        <f t="shared" ref="BQ7:BQ34" si="68">BQ6+1</f>
        <v>3</v>
      </c>
      <c r="BR7" s="8" t="str">
        <f t="shared" si="48"/>
        <v>Village</v>
      </c>
      <c r="BS7" s="9">
        <f t="shared" si="49"/>
        <v>8000</v>
      </c>
      <c r="BT7" s="10">
        <f t="shared" si="50"/>
        <v>2000</v>
      </c>
    </row>
    <row r="8" spans="1:72" x14ac:dyDescent="0.25">
      <c r="A8" s="5">
        <f t="shared" si="51"/>
        <v>4</v>
      </c>
      <c r="B8" s="29" t="s">
        <v>65</v>
      </c>
      <c r="C8" s="30">
        <v>8000</v>
      </c>
      <c r="D8" s="31">
        <v>2000</v>
      </c>
      <c r="E8" s="5">
        <f t="shared" si="52"/>
        <v>4</v>
      </c>
      <c r="F8" s="8" t="str">
        <f t="shared" si="0"/>
        <v>Village</v>
      </c>
      <c r="G8" s="9">
        <f t="shared" si="1"/>
        <v>8000</v>
      </c>
      <c r="H8" s="10">
        <f t="shared" si="2"/>
        <v>2000</v>
      </c>
      <c r="I8" s="5">
        <f t="shared" si="53"/>
        <v>4</v>
      </c>
      <c r="J8" s="8" t="str">
        <f t="shared" si="3"/>
        <v>Village</v>
      </c>
      <c r="K8" s="9">
        <f t="shared" si="4"/>
        <v>8000</v>
      </c>
      <c r="L8" s="10">
        <f t="shared" si="5"/>
        <v>2000</v>
      </c>
      <c r="M8" s="5">
        <f t="shared" si="54"/>
        <v>4</v>
      </c>
      <c r="N8" s="8" t="str">
        <f t="shared" si="6"/>
        <v>Village</v>
      </c>
      <c r="O8" s="9">
        <f t="shared" si="7"/>
        <v>8000</v>
      </c>
      <c r="P8" s="10">
        <f t="shared" si="8"/>
        <v>2000</v>
      </c>
      <c r="Q8" s="5">
        <f t="shared" si="55"/>
        <v>4</v>
      </c>
      <c r="R8" s="8" t="str">
        <f t="shared" si="9"/>
        <v>Village</v>
      </c>
      <c r="S8" s="9">
        <f t="shared" si="10"/>
        <v>8000</v>
      </c>
      <c r="T8" s="10">
        <f t="shared" si="11"/>
        <v>2000</v>
      </c>
      <c r="U8" s="5">
        <f t="shared" si="56"/>
        <v>4</v>
      </c>
      <c r="V8" s="8" t="str">
        <f t="shared" si="12"/>
        <v>Village</v>
      </c>
      <c r="W8" s="9">
        <f t="shared" si="13"/>
        <v>8000</v>
      </c>
      <c r="X8" s="10">
        <f t="shared" si="14"/>
        <v>2000</v>
      </c>
      <c r="Y8" s="5">
        <f t="shared" si="57"/>
        <v>4</v>
      </c>
      <c r="Z8" s="8" t="str">
        <f t="shared" si="15"/>
        <v>Village</v>
      </c>
      <c r="AA8" s="9">
        <f t="shared" si="16"/>
        <v>8000</v>
      </c>
      <c r="AB8" s="10">
        <f t="shared" si="17"/>
        <v>2000</v>
      </c>
      <c r="AC8" s="5">
        <f t="shared" si="58"/>
        <v>4</v>
      </c>
      <c r="AD8" s="8" t="str">
        <f t="shared" si="18"/>
        <v>Village</v>
      </c>
      <c r="AE8" s="9">
        <f t="shared" si="19"/>
        <v>8000</v>
      </c>
      <c r="AF8" s="10">
        <f t="shared" si="20"/>
        <v>2000</v>
      </c>
      <c r="AG8" s="5">
        <f t="shared" si="59"/>
        <v>4</v>
      </c>
      <c r="AH8" s="8" t="str">
        <f t="shared" si="21"/>
        <v>Village</v>
      </c>
      <c r="AI8" s="9">
        <f t="shared" si="22"/>
        <v>8000</v>
      </c>
      <c r="AJ8" s="10">
        <f t="shared" si="23"/>
        <v>2000</v>
      </c>
      <c r="AK8" s="5">
        <f t="shared" si="60"/>
        <v>4</v>
      </c>
      <c r="AL8" s="8" t="str">
        <f t="shared" si="24"/>
        <v>Village</v>
      </c>
      <c r="AM8" s="9">
        <f t="shared" si="25"/>
        <v>8000</v>
      </c>
      <c r="AN8" s="10">
        <f t="shared" si="26"/>
        <v>2000</v>
      </c>
      <c r="AO8" s="5">
        <f t="shared" si="61"/>
        <v>4</v>
      </c>
      <c r="AP8" s="8" t="str">
        <f t="shared" si="27"/>
        <v>Village</v>
      </c>
      <c r="AQ8" s="9">
        <f t="shared" si="28"/>
        <v>8000</v>
      </c>
      <c r="AR8" s="10">
        <f t="shared" si="29"/>
        <v>2000</v>
      </c>
      <c r="AS8" s="5">
        <f t="shared" si="62"/>
        <v>4</v>
      </c>
      <c r="AT8" s="8" t="str">
        <f t="shared" si="30"/>
        <v>Village</v>
      </c>
      <c r="AU8" s="9">
        <f t="shared" si="31"/>
        <v>8000</v>
      </c>
      <c r="AV8" s="10">
        <f t="shared" si="32"/>
        <v>2000</v>
      </c>
      <c r="AW8" s="5">
        <f t="shared" si="63"/>
        <v>4</v>
      </c>
      <c r="AX8" s="8" t="str">
        <f t="shared" si="33"/>
        <v>Village</v>
      </c>
      <c r="AY8" s="9">
        <f t="shared" si="34"/>
        <v>8000</v>
      </c>
      <c r="AZ8" s="10">
        <f t="shared" si="35"/>
        <v>2000</v>
      </c>
      <c r="BA8" s="5">
        <f t="shared" si="64"/>
        <v>4</v>
      </c>
      <c r="BB8" s="8" t="str">
        <f t="shared" si="36"/>
        <v>Village</v>
      </c>
      <c r="BC8" s="9">
        <f t="shared" si="37"/>
        <v>8000</v>
      </c>
      <c r="BD8" s="10">
        <f t="shared" si="38"/>
        <v>2000</v>
      </c>
      <c r="BE8" s="5">
        <f t="shared" si="65"/>
        <v>4</v>
      </c>
      <c r="BF8" s="8" t="str">
        <f t="shared" si="39"/>
        <v>Village</v>
      </c>
      <c r="BG8" s="9">
        <f t="shared" si="40"/>
        <v>8000</v>
      </c>
      <c r="BH8" s="10">
        <f t="shared" si="41"/>
        <v>2000</v>
      </c>
      <c r="BI8" s="5">
        <f t="shared" si="66"/>
        <v>4</v>
      </c>
      <c r="BJ8" s="8" t="str">
        <f t="shared" si="42"/>
        <v>Village</v>
      </c>
      <c r="BK8" s="9">
        <f t="shared" si="43"/>
        <v>8000</v>
      </c>
      <c r="BL8" s="10">
        <f t="shared" si="44"/>
        <v>2000</v>
      </c>
      <c r="BM8" s="5">
        <f t="shared" si="67"/>
        <v>4</v>
      </c>
      <c r="BN8" s="8" t="str">
        <f t="shared" si="45"/>
        <v>Village</v>
      </c>
      <c r="BO8" s="9">
        <f t="shared" si="46"/>
        <v>8000</v>
      </c>
      <c r="BP8" s="10">
        <f t="shared" si="47"/>
        <v>2000</v>
      </c>
      <c r="BQ8" s="5">
        <f t="shared" si="68"/>
        <v>4</v>
      </c>
      <c r="BR8" s="8" t="str">
        <f t="shared" si="48"/>
        <v>Village</v>
      </c>
      <c r="BS8" s="9">
        <f t="shared" si="49"/>
        <v>8000</v>
      </c>
      <c r="BT8" s="10">
        <f t="shared" si="50"/>
        <v>2000</v>
      </c>
    </row>
    <row r="9" spans="1:72" x14ac:dyDescent="0.25">
      <c r="A9" s="5">
        <f t="shared" si="51"/>
        <v>5</v>
      </c>
      <c r="B9" s="8"/>
      <c r="C9" s="9"/>
      <c r="D9" s="10"/>
      <c r="E9" s="5">
        <f t="shared" si="52"/>
        <v>5</v>
      </c>
      <c r="F9" s="8"/>
      <c r="G9" s="9"/>
      <c r="H9" s="10"/>
      <c r="I9" s="5">
        <f t="shared" si="53"/>
        <v>5</v>
      </c>
      <c r="J9" s="8"/>
      <c r="K9" s="9"/>
      <c r="L9" s="10"/>
      <c r="M9" s="5">
        <f t="shared" si="54"/>
        <v>5</v>
      </c>
      <c r="N9" s="8"/>
      <c r="O9" s="9"/>
      <c r="P9" s="10"/>
      <c r="Q9" s="5">
        <f t="shared" si="55"/>
        <v>5</v>
      </c>
      <c r="R9" s="8"/>
      <c r="S9" s="9"/>
      <c r="T9" s="10"/>
      <c r="U9" s="5">
        <f t="shared" si="56"/>
        <v>5</v>
      </c>
      <c r="V9" s="8"/>
      <c r="W9" s="9"/>
      <c r="X9" s="10"/>
      <c r="Y9" s="5">
        <f t="shared" si="57"/>
        <v>5</v>
      </c>
      <c r="Z9" s="8"/>
      <c r="AA9" s="9"/>
      <c r="AB9" s="10"/>
      <c r="AC9" s="5">
        <f t="shared" si="58"/>
        <v>5</v>
      </c>
      <c r="AD9" s="8"/>
      <c r="AE9" s="9"/>
      <c r="AF9" s="10"/>
      <c r="AG9" s="5">
        <f t="shared" si="59"/>
        <v>5</v>
      </c>
      <c r="AH9" s="8"/>
      <c r="AI9" s="9"/>
      <c r="AJ9" s="10"/>
      <c r="AK9" s="5">
        <f t="shared" si="60"/>
        <v>5</v>
      </c>
      <c r="AL9" s="8"/>
      <c r="AM9" s="9"/>
      <c r="AN9" s="10"/>
      <c r="AO9" s="5">
        <f t="shared" si="61"/>
        <v>5</v>
      </c>
      <c r="AP9" s="8"/>
      <c r="AQ9" s="9"/>
      <c r="AR9" s="10"/>
      <c r="AS9" s="5">
        <f t="shared" si="62"/>
        <v>5</v>
      </c>
      <c r="AT9" s="8"/>
      <c r="AU9" s="9"/>
      <c r="AV9" s="10"/>
      <c r="AW9" s="5">
        <f t="shared" si="63"/>
        <v>5</v>
      </c>
      <c r="AX9" s="8"/>
      <c r="AY9" s="9"/>
      <c r="AZ9" s="10"/>
      <c r="BA9" s="5">
        <f t="shared" si="64"/>
        <v>5</v>
      </c>
      <c r="BB9" s="8"/>
      <c r="BC9" s="9"/>
      <c r="BD9" s="10"/>
      <c r="BE9" s="5">
        <f t="shared" si="65"/>
        <v>5</v>
      </c>
      <c r="BF9" s="8"/>
      <c r="BG9" s="9"/>
      <c r="BH9" s="10"/>
      <c r="BI9" s="5">
        <f t="shared" si="66"/>
        <v>5</v>
      </c>
      <c r="BJ9" s="8"/>
      <c r="BK9" s="9"/>
      <c r="BL9" s="10"/>
      <c r="BM9" s="5">
        <f t="shared" si="67"/>
        <v>5</v>
      </c>
      <c r="BN9" s="8"/>
      <c r="BO9" s="9"/>
      <c r="BP9" s="10"/>
      <c r="BQ9" s="5">
        <f t="shared" si="68"/>
        <v>5</v>
      </c>
      <c r="BR9" s="8"/>
      <c r="BS9" s="9"/>
      <c r="BT9" s="10"/>
    </row>
    <row r="10" spans="1:72" x14ac:dyDescent="0.25">
      <c r="A10" s="5">
        <f t="shared" si="51"/>
        <v>6</v>
      </c>
      <c r="B10" s="8"/>
      <c r="C10" s="9"/>
      <c r="D10" s="10"/>
      <c r="E10" s="5">
        <f t="shared" si="52"/>
        <v>6</v>
      </c>
      <c r="F10" s="8"/>
      <c r="G10" s="9"/>
      <c r="H10" s="10"/>
      <c r="I10" s="5">
        <f t="shared" si="53"/>
        <v>6</v>
      </c>
      <c r="J10" s="8"/>
      <c r="K10" s="9"/>
      <c r="L10" s="10"/>
      <c r="M10" s="5">
        <f t="shared" si="54"/>
        <v>6</v>
      </c>
      <c r="N10" s="8"/>
      <c r="O10" s="9"/>
      <c r="P10" s="10"/>
      <c r="Q10" s="5">
        <f t="shared" si="55"/>
        <v>6</v>
      </c>
      <c r="R10" s="8"/>
      <c r="S10" s="9"/>
      <c r="T10" s="10"/>
      <c r="U10" s="5">
        <f t="shared" si="56"/>
        <v>6</v>
      </c>
      <c r="V10" s="8"/>
      <c r="W10" s="9"/>
      <c r="X10" s="10"/>
      <c r="Y10" s="5">
        <f t="shared" si="57"/>
        <v>6</v>
      </c>
      <c r="Z10" s="8"/>
      <c r="AA10" s="9"/>
      <c r="AB10" s="10"/>
      <c r="AC10" s="5">
        <f t="shared" si="58"/>
        <v>6</v>
      </c>
      <c r="AD10" s="8"/>
      <c r="AE10" s="9"/>
      <c r="AF10" s="10"/>
      <c r="AG10" s="5">
        <f t="shared" si="59"/>
        <v>6</v>
      </c>
      <c r="AH10" s="8"/>
      <c r="AI10" s="9"/>
      <c r="AJ10" s="10"/>
      <c r="AK10" s="5">
        <f t="shared" si="60"/>
        <v>6</v>
      </c>
      <c r="AL10" s="8"/>
      <c r="AM10" s="9"/>
      <c r="AN10" s="10"/>
      <c r="AO10" s="5">
        <f t="shared" si="61"/>
        <v>6</v>
      </c>
      <c r="AP10" s="8"/>
      <c r="AQ10" s="9"/>
      <c r="AR10" s="10"/>
      <c r="AS10" s="5">
        <f t="shared" si="62"/>
        <v>6</v>
      </c>
      <c r="AT10" s="8"/>
      <c r="AU10" s="9"/>
      <c r="AV10" s="10"/>
      <c r="AW10" s="5">
        <f t="shared" si="63"/>
        <v>6</v>
      </c>
      <c r="AX10" s="8"/>
      <c r="AY10" s="9"/>
      <c r="AZ10" s="10"/>
      <c r="BA10" s="5">
        <f t="shared" si="64"/>
        <v>6</v>
      </c>
      <c r="BB10" s="8"/>
      <c r="BC10" s="9"/>
      <c r="BD10" s="10"/>
      <c r="BE10" s="5">
        <f t="shared" si="65"/>
        <v>6</v>
      </c>
      <c r="BF10" s="8"/>
      <c r="BG10" s="9"/>
      <c r="BH10" s="10"/>
      <c r="BI10" s="5">
        <f t="shared" si="66"/>
        <v>6</v>
      </c>
      <c r="BJ10" s="8"/>
      <c r="BK10" s="9"/>
      <c r="BL10" s="10"/>
      <c r="BM10" s="5">
        <f t="shared" si="67"/>
        <v>6</v>
      </c>
      <c r="BN10" s="8"/>
      <c r="BO10" s="9"/>
      <c r="BP10" s="10"/>
      <c r="BQ10" s="5">
        <f t="shared" si="68"/>
        <v>6</v>
      </c>
      <c r="BR10" s="8"/>
      <c r="BS10" s="9"/>
      <c r="BT10" s="10"/>
    </row>
    <row r="11" spans="1:72" x14ac:dyDescent="0.25">
      <c r="A11" s="5">
        <f t="shared" si="51"/>
        <v>7</v>
      </c>
      <c r="B11" s="8"/>
      <c r="C11" s="9"/>
      <c r="D11" s="10"/>
      <c r="E11" s="5">
        <f t="shared" si="52"/>
        <v>7</v>
      </c>
      <c r="F11" s="8"/>
      <c r="G11" s="9"/>
      <c r="H11" s="10"/>
      <c r="I11" s="5">
        <f t="shared" si="53"/>
        <v>7</v>
      </c>
      <c r="J11" s="8"/>
      <c r="K11" s="9"/>
      <c r="L11" s="10"/>
      <c r="M11" s="5">
        <f t="shared" si="54"/>
        <v>7</v>
      </c>
      <c r="N11" s="8"/>
      <c r="O11" s="9"/>
      <c r="P11" s="10"/>
      <c r="Q11" s="5">
        <f t="shared" si="55"/>
        <v>7</v>
      </c>
      <c r="R11" s="8"/>
      <c r="S11" s="9"/>
      <c r="T11" s="10"/>
      <c r="U11" s="5">
        <f t="shared" si="56"/>
        <v>7</v>
      </c>
      <c r="V11" s="8"/>
      <c r="W11" s="9"/>
      <c r="X11" s="10"/>
      <c r="Y11" s="5">
        <f t="shared" si="57"/>
        <v>7</v>
      </c>
      <c r="Z11" s="8"/>
      <c r="AA11" s="9"/>
      <c r="AB11" s="10"/>
      <c r="AC11" s="5">
        <f t="shared" si="58"/>
        <v>7</v>
      </c>
      <c r="AD11" s="8"/>
      <c r="AE11" s="9"/>
      <c r="AF11" s="10"/>
      <c r="AG11" s="5">
        <f t="shared" si="59"/>
        <v>7</v>
      </c>
      <c r="AH11" s="8"/>
      <c r="AI11" s="9"/>
      <c r="AJ11" s="10"/>
      <c r="AK11" s="5">
        <f t="shared" si="60"/>
        <v>7</v>
      </c>
      <c r="AL11" s="8"/>
      <c r="AM11" s="9"/>
      <c r="AN11" s="10"/>
      <c r="AO11" s="5">
        <f t="shared" si="61"/>
        <v>7</v>
      </c>
      <c r="AP11" s="8"/>
      <c r="AQ11" s="9"/>
      <c r="AR11" s="10"/>
      <c r="AS11" s="5">
        <f t="shared" si="62"/>
        <v>7</v>
      </c>
      <c r="AT11" s="8"/>
      <c r="AU11" s="9"/>
      <c r="AV11" s="10"/>
      <c r="AW11" s="5">
        <f t="shared" si="63"/>
        <v>7</v>
      </c>
      <c r="AX11" s="8"/>
      <c r="AY11" s="9"/>
      <c r="AZ11" s="10"/>
      <c r="BA11" s="5">
        <f t="shared" si="64"/>
        <v>7</v>
      </c>
      <c r="BB11" s="8"/>
      <c r="BC11" s="9"/>
      <c r="BD11" s="10"/>
      <c r="BE11" s="5">
        <f t="shared" si="65"/>
        <v>7</v>
      </c>
      <c r="BF11" s="8"/>
      <c r="BG11" s="9"/>
      <c r="BH11" s="10"/>
      <c r="BI11" s="5">
        <f t="shared" si="66"/>
        <v>7</v>
      </c>
      <c r="BJ11" s="8"/>
      <c r="BK11" s="9"/>
      <c r="BL11" s="10"/>
      <c r="BM11" s="5">
        <f t="shared" si="67"/>
        <v>7</v>
      </c>
      <c r="BN11" s="8"/>
      <c r="BO11" s="9"/>
      <c r="BP11" s="10"/>
      <c r="BQ11" s="5">
        <f t="shared" si="68"/>
        <v>7</v>
      </c>
      <c r="BR11" s="8"/>
      <c r="BS11" s="9"/>
      <c r="BT11" s="10"/>
    </row>
    <row r="12" spans="1:72" x14ac:dyDescent="0.25">
      <c r="A12" s="5">
        <f t="shared" si="51"/>
        <v>8</v>
      </c>
      <c r="B12" s="8"/>
      <c r="C12" s="9"/>
      <c r="D12" s="10"/>
      <c r="E12" s="5">
        <f t="shared" si="52"/>
        <v>8</v>
      </c>
      <c r="F12" s="8"/>
      <c r="G12" s="9"/>
      <c r="H12" s="10"/>
      <c r="I12" s="5">
        <f t="shared" si="53"/>
        <v>8</v>
      </c>
      <c r="J12" s="8"/>
      <c r="K12" s="9"/>
      <c r="L12" s="10"/>
      <c r="M12" s="5">
        <f t="shared" si="54"/>
        <v>8</v>
      </c>
      <c r="N12" s="8"/>
      <c r="O12" s="9"/>
      <c r="P12" s="10"/>
      <c r="Q12" s="5">
        <f t="shared" si="55"/>
        <v>8</v>
      </c>
      <c r="R12" s="8"/>
      <c r="S12" s="9"/>
      <c r="T12" s="10"/>
      <c r="U12" s="5">
        <f t="shared" si="56"/>
        <v>8</v>
      </c>
      <c r="V12" s="8"/>
      <c r="W12" s="9"/>
      <c r="X12" s="10"/>
      <c r="Y12" s="5">
        <f t="shared" si="57"/>
        <v>8</v>
      </c>
      <c r="Z12" s="8"/>
      <c r="AA12" s="9"/>
      <c r="AB12" s="10"/>
      <c r="AC12" s="5">
        <f t="shared" si="58"/>
        <v>8</v>
      </c>
      <c r="AD12" s="8"/>
      <c r="AE12" s="9"/>
      <c r="AF12" s="10"/>
      <c r="AG12" s="5">
        <f t="shared" si="59"/>
        <v>8</v>
      </c>
      <c r="AH12" s="8"/>
      <c r="AI12" s="9"/>
      <c r="AJ12" s="10"/>
      <c r="AK12" s="5">
        <f t="shared" si="60"/>
        <v>8</v>
      </c>
      <c r="AL12" s="8"/>
      <c r="AM12" s="9"/>
      <c r="AN12" s="10"/>
      <c r="AO12" s="5">
        <f t="shared" si="61"/>
        <v>8</v>
      </c>
      <c r="AP12" s="8"/>
      <c r="AQ12" s="9"/>
      <c r="AR12" s="10"/>
      <c r="AS12" s="5">
        <f t="shared" si="62"/>
        <v>8</v>
      </c>
      <c r="AT12" s="8"/>
      <c r="AU12" s="9"/>
      <c r="AV12" s="10"/>
      <c r="AW12" s="5">
        <f t="shared" si="63"/>
        <v>8</v>
      </c>
      <c r="AX12" s="8"/>
      <c r="AY12" s="9"/>
      <c r="AZ12" s="10"/>
      <c r="BA12" s="5">
        <f t="shared" si="64"/>
        <v>8</v>
      </c>
      <c r="BB12" s="8"/>
      <c r="BC12" s="9"/>
      <c r="BD12" s="10"/>
      <c r="BE12" s="5">
        <f t="shared" si="65"/>
        <v>8</v>
      </c>
      <c r="BF12" s="8"/>
      <c r="BG12" s="9"/>
      <c r="BH12" s="10"/>
      <c r="BI12" s="5">
        <f t="shared" si="66"/>
        <v>8</v>
      </c>
      <c r="BJ12" s="8"/>
      <c r="BK12" s="9"/>
      <c r="BL12" s="10"/>
      <c r="BM12" s="5">
        <f t="shared" si="67"/>
        <v>8</v>
      </c>
      <c r="BN12" s="8"/>
      <c r="BO12" s="9"/>
      <c r="BP12" s="10"/>
      <c r="BQ12" s="5">
        <f t="shared" si="68"/>
        <v>8</v>
      </c>
      <c r="BR12" s="8"/>
      <c r="BS12" s="9"/>
      <c r="BT12" s="10"/>
    </row>
    <row r="13" spans="1:72" x14ac:dyDescent="0.25">
      <c r="A13" s="5">
        <f t="shared" si="51"/>
        <v>9</v>
      </c>
      <c r="B13" s="8"/>
      <c r="C13" s="9"/>
      <c r="D13" s="10"/>
      <c r="E13" s="5">
        <f t="shared" si="52"/>
        <v>9</v>
      </c>
      <c r="F13" s="8"/>
      <c r="G13" s="9"/>
      <c r="H13" s="10"/>
      <c r="I13" s="5">
        <f t="shared" si="53"/>
        <v>9</v>
      </c>
      <c r="J13" s="8"/>
      <c r="K13" s="9"/>
      <c r="L13" s="10"/>
      <c r="M13" s="5">
        <f t="shared" si="54"/>
        <v>9</v>
      </c>
      <c r="N13" s="8"/>
      <c r="O13" s="9"/>
      <c r="P13" s="10"/>
      <c r="Q13" s="5">
        <f t="shared" si="55"/>
        <v>9</v>
      </c>
      <c r="R13" s="8"/>
      <c r="S13" s="9"/>
      <c r="T13" s="10"/>
      <c r="U13" s="5">
        <f t="shared" si="56"/>
        <v>9</v>
      </c>
      <c r="V13" s="8"/>
      <c r="W13" s="9"/>
      <c r="X13" s="10"/>
      <c r="Y13" s="5">
        <f t="shared" si="57"/>
        <v>9</v>
      </c>
      <c r="Z13" s="8"/>
      <c r="AA13" s="9"/>
      <c r="AB13" s="10"/>
      <c r="AC13" s="5">
        <f t="shared" si="58"/>
        <v>9</v>
      </c>
      <c r="AD13" s="8"/>
      <c r="AE13" s="9"/>
      <c r="AF13" s="10"/>
      <c r="AG13" s="5">
        <f t="shared" si="59"/>
        <v>9</v>
      </c>
      <c r="AH13" s="8"/>
      <c r="AI13" s="9"/>
      <c r="AJ13" s="10"/>
      <c r="AK13" s="5">
        <f t="shared" si="60"/>
        <v>9</v>
      </c>
      <c r="AL13" s="8"/>
      <c r="AM13" s="9"/>
      <c r="AN13" s="10"/>
      <c r="AO13" s="5">
        <f t="shared" si="61"/>
        <v>9</v>
      </c>
      <c r="AP13" s="8"/>
      <c r="AQ13" s="9"/>
      <c r="AR13" s="10"/>
      <c r="AS13" s="5">
        <f t="shared" si="62"/>
        <v>9</v>
      </c>
      <c r="AT13" s="8"/>
      <c r="AU13" s="9"/>
      <c r="AV13" s="10"/>
      <c r="AW13" s="5">
        <f t="shared" si="63"/>
        <v>9</v>
      </c>
      <c r="AX13" s="8"/>
      <c r="AY13" s="9"/>
      <c r="AZ13" s="10"/>
      <c r="BA13" s="5">
        <f t="shared" si="64"/>
        <v>9</v>
      </c>
      <c r="BB13" s="8"/>
      <c r="BC13" s="9"/>
      <c r="BD13" s="10"/>
      <c r="BE13" s="5">
        <f t="shared" si="65"/>
        <v>9</v>
      </c>
      <c r="BF13" s="8"/>
      <c r="BG13" s="9"/>
      <c r="BH13" s="10"/>
      <c r="BI13" s="5">
        <f t="shared" si="66"/>
        <v>9</v>
      </c>
      <c r="BJ13" s="8"/>
      <c r="BK13" s="9"/>
      <c r="BL13" s="10"/>
      <c r="BM13" s="5">
        <f t="shared" si="67"/>
        <v>9</v>
      </c>
      <c r="BN13" s="8"/>
      <c r="BO13" s="9"/>
      <c r="BP13" s="10"/>
      <c r="BQ13" s="5">
        <f t="shared" si="68"/>
        <v>9</v>
      </c>
      <c r="BR13" s="8"/>
      <c r="BS13" s="9"/>
      <c r="BT13" s="10"/>
    </row>
    <row r="14" spans="1:72" x14ac:dyDescent="0.25">
      <c r="A14" s="5">
        <f t="shared" si="51"/>
        <v>10</v>
      </c>
      <c r="B14" s="8"/>
      <c r="C14" s="9"/>
      <c r="D14" s="10"/>
      <c r="E14" s="5">
        <f t="shared" si="52"/>
        <v>10</v>
      </c>
      <c r="F14" s="8"/>
      <c r="G14" s="9"/>
      <c r="H14" s="10"/>
      <c r="I14" s="5">
        <f t="shared" si="53"/>
        <v>10</v>
      </c>
      <c r="J14" s="8"/>
      <c r="K14" s="9"/>
      <c r="L14" s="10"/>
      <c r="M14" s="5">
        <f t="shared" si="54"/>
        <v>10</v>
      </c>
      <c r="N14" s="8"/>
      <c r="O14" s="9"/>
      <c r="P14" s="10"/>
      <c r="Q14" s="5">
        <f t="shared" si="55"/>
        <v>10</v>
      </c>
      <c r="R14" s="8"/>
      <c r="S14" s="9"/>
      <c r="T14" s="10"/>
      <c r="U14" s="5">
        <f t="shared" si="56"/>
        <v>10</v>
      </c>
      <c r="V14" s="8"/>
      <c r="W14" s="9"/>
      <c r="X14" s="10"/>
      <c r="Y14" s="5">
        <f t="shared" si="57"/>
        <v>10</v>
      </c>
      <c r="Z14" s="8"/>
      <c r="AA14" s="9"/>
      <c r="AB14" s="10"/>
      <c r="AC14" s="5">
        <f t="shared" si="58"/>
        <v>10</v>
      </c>
      <c r="AD14" s="8"/>
      <c r="AE14" s="9"/>
      <c r="AF14" s="10"/>
      <c r="AG14" s="5">
        <f t="shared" si="59"/>
        <v>10</v>
      </c>
      <c r="AH14" s="8"/>
      <c r="AI14" s="9"/>
      <c r="AJ14" s="10"/>
      <c r="AK14" s="5">
        <f t="shared" si="60"/>
        <v>10</v>
      </c>
      <c r="AL14" s="8"/>
      <c r="AM14" s="9"/>
      <c r="AN14" s="10"/>
      <c r="AO14" s="5">
        <f t="shared" si="61"/>
        <v>10</v>
      </c>
      <c r="AP14" s="8"/>
      <c r="AQ14" s="9"/>
      <c r="AR14" s="10"/>
      <c r="AS14" s="5">
        <f t="shared" si="62"/>
        <v>10</v>
      </c>
      <c r="AT14" s="8"/>
      <c r="AU14" s="9"/>
      <c r="AV14" s="10"/>
      <c r="AW14" s="5">
        <f t="shared" si="63"/>
        <v>10</v>
      </c>
      <c r="AX14" s="8"/>
      <c r="AY14" s="9"/>
      <c r="AZ14" s="10"/>
      <c r="BA14" s="5">
        <f t="shared" si="64"/>
        <v>10</v>
      </c>
      <c r="BB14" s="8"/>
      <c r="BC14" s="9"/>
      <c r="BD14" s="10"/>
      <c r="BE14" s="5">
        <f t="shared" si="65"/>
        <v>10</v>
      </c>
      <c r="BF14" s="8"/>
      <c r="BG14" s="9"/>
      <c r="BH14" s="10"/>
      <c r="BI14" s="5">
        <f t="shared" si="66"/>
        <v>10</v>
      </c>
      <c r="BJ14" s="8"/>
      <c r="BK14" s="9"/>
      <c r="BL14" s="10"/>
      <c r="BM14" s="5">
        <f t="shared" si="67"/>
        <v>10</v>
      </c>
      <c r="BN14" s="8"/>
      <c r="BO14" s="9"/>
      <c r="BP14" s="10"/>
      <c r="BQ14" s="5">
        <f t="shared" si="68"/>
        <v>10</v>
      </c>
      <c r="BR14" s="8"/>
      <c r="BS14" s="9"/>
      <c r="BT14" s="10"/>
    </row>
    <row r="15" spans="1:72" x14ac:dyDescent="0.25">
      <c r="A15" s="5">
        <f t="shared" si="51"/>
        <v>11</v>
      </c>
      <c r="B15" s="8"/>
      <c r="C15" s="9"/>
      <c r="D15" s="10"/>
      <c r="E15" s="5">
        <f t="shared" si="52"/>
        <v>11</v>
      </c>
      <c r="F15" s="8"/>
      <c r="G15" s="9"/>
      <c r="H15" s="10"/>
      <c r="I15" s="5">
        <f t="shared" si="53"/>
        <v>11</v>
      </c>
      <c r="J15" s="8"/>
      <c r="K15" s="9"/>
      <c r="L15" s="10"/>
      <c r="M15" s="5">
        <f t="shared" si="54"/>
        <v>11</v>
      </c>
      <c r="N15" s="8"/>
      <c r="O15" s="9"/>
      <c r="P15" s="10"/>
      <c r="Q15" s="5">
        <f t="shared" si="55"/>
        <v>11</v>
      </c>
      <c r="R15" s="8"/>
      <c r="S15" s="9"/>
      <c r="T15" s="10"/>
      <c r="U15" s="5">
        <f t="shared" si="56"/>
        <v>11</v>
      </c>
      <c r="V15" s="8"/>
      <c r="W15" s="9"/>
      <c r="X15" s="10"/>
      <c r="Y15" s="5">
        <f t="shared" si="57"/>
        <v>11</v>
      </c>
      <c r="Z15" s="8"/>
      <c r="AA15" s="9"/>
      <c r="AB15" s="10"/>
      <c r="AC15" s="5">
        <f t="shared" si="58"/>
        <v>11</v>
      </c>
      <c r="AD15" s="8"/>
      <c r="AE15" s="9"/>
      <c r="AF15" s="10"/>
      <c r="AG15" s="5">
        <f t="shared" si="59"/>
        <v>11</v>
      </c>
      <c r="AH15" s="8"/>
      <c r="AI15" s="9"/>
      <c r="AJ15" s="10"/>
      <c r="AK15" s="5">
        <f t="shared" si="60"/>
        <v>11</v>
      </c>
      <c r="AL15" s="8"/>
      <c r="AM15" s="9"/>
      <c r="AN15" s="10"/>
      <c r="AO15" s="5">
        <f t="shared" si="61"/>
        <v>11</v>
      </c>
      <c r="AP15" s="8"/>
      <c r="AQ15" s="9"/>
      <c r="AR15" s="10"/>
      <c r="AS15" s="5">
        <f t="shared" si="62"/>
        <v>11</v>
      </c>
      <c r="AT15" s="8"/>
      <c r="AU15" s="9"/>
      <c r="AV15" s="10"/>
      <c r="AW15" s="5">
        <f t="shared" si="63"/>
        <v>11</v>
      </c>
      <c r="AX15" s="8"/>
      <c r="AY15" s="9"/>
      <c r="AZ15" s="10"/>
      <c r="BA15" s="5">
        <f t="shared" si="64"/>
        <v>11</v>
      </c>
      <c r="BB15" s="8"/>
      <c r="BC15" s="9"/>
      <c r="BD15" s="10"/>
      <c r="BE15" s="5">
        <f t="shared" si="65"/>
        <v>11</v>
      </c>
      <c r="BF15" s="8"/>
      <c r="BG15" s="9"/>
      <c r="BH15" s="10"/>
      <c r="BI15" s="5">
        <f t="shared" si="66"/>
        <v>11</v>
      </c>
      <c r="BJ15" s="8"/>
      <c r="BK15" s="9"/>
      <c r="BL15" s="10"/>
      <c r="BM15" s="5">
        <f t="shared" si="67"/>
        <v>11</v>
      </c>
      <c r="BN15" s="8"/>
      <c r="BO15" s="9"/>
      <c r="BP15" s="10"/>
      <c r="BQ15" s="5">
        <f t="shared" si="68"/>
        <v>11</v>
      </c>
      <c r="BR15" s="8"/>
      <c r="BS15" s="9"/>
      <c r="BT15" s="10"/>
    </row>
    <row r="16" spans="1:72" x14ac:dyDescent="0.25">
      <c r="A16" s="5">
        <f t="shared" si="51"/>
        <v>12</v>
      </c>
      <c r="B16" s="8"/>
      <c r="C16" s="9"/>
      <c r="D16" s="10"/>
      <c r="E16" s="5">
        <f t="shared" si="52"/>
        <v>12</v>
      </c>
      <c r="F16" s="8"/>
      <c r="G16" s="9"/>
      <c r="H16" s="10"/>
      <c r="I16" s="5">
        <f t="shared" si="53"/>
        <v>12</v>
      </c>
      <c r="J16" s="8"/>
      <c r="K16" s="9"/>
      <c r="L16" s="10"/>
      <c r="M16" s="5">
        <f t="shared" si="54"/>
        <v>12</v>
      </c>
      <c r="N16" s="8"/>
      <c r="O16" s="9"/>
      <c r="P16" s="10"/>
      <c r="Q16" s="5">
        <f t="shared" si="55"/>
        <v>12</v>
      </c>
      <c r="R16" s="8"/>
      <c r="S16" s="9"/>
      <c r="T16" s="10"/>
      <c r="U16" s="5">
        <f t="shared" si="56"/>
        <v>12</v>
      </c>
      <c r="V16" s="8"/>
      <c r="W16" s="9"/>
      <c r="X16" s="10"/>
      <c r="Y16" s="5">
        <f t="shared" si="57"/>
        <v>12</v>
      </c>
      <c r="Z16" s="8"/>
      <c r="AA16" s="9"/>
      <c r="AB16" s="10"/>
      <c r="AC16" s="5">
        <f t="shared" si="58"/>
        <v>12</v>
      </c>
      <c r="AD16" s="8"/>
      <c r="AE16" s="9"/>
      <c r="AF16" s="10"/>
      <c r="AG16" s="5">
        <f t="shared" si="59"/>
        <v>12</v>
      </c>
      <c r="AH16" s="8"/>
      <c r="AI16" s="9"/>
      <c r="AJ16" s="10"/>
      <c r="AK16" s="5">
        <f t="shared" si="60"/>
        <v>12</v>
      </c>
      <c r="AL16" s="8"/>
      <c r="AM16" s="9"/>
      <c r="AN16" s="10"/>
      <c r="AO16" s="5">
        <f t="shared" si="61"/>
        <v>12</v>
      </c>
      <c r="AP16" s="8"/>
      <c r="AQ16" s="9"/>
      <c r="AR16" s="10"/>
      <c r="AS16" s="5">
        <f t="shared" si="62"/>
        <v>12</v>
      </c>
      <c r="AT16" s="8"/>
      <c r="AU16" s="9"/>
      <c r="AV16" s="10"/>
      <c r="AW16" s="5">
        <f t="shared" si="63"/>
        <v>12</v>
      </c>
      <c r="AX16" s="8"/>
      <c r="AY16" s="9"/>
      <c r="AZ16" s="10"/>
      <c r="BA16" s="5">
        <f t="shared" si="64"/>
        <v>12</v>
      </c>
      <c r="BB16" s="8"/>
      <c r="BC16" s="9"/>
      <c r="BD16" s="10"/>
      <c r="BE16" s="5">
        <f t="shared" si="65"/>
        <v>12</v>
      </c>
      <c r="BF16" s="8"/>
      <c r="BG16" s="9"/>
      <c r="BH16" s="10"/>
      <c r="BI16" s="5">
        <f t="shared" si="66"/>
        <v>12</v>
      </c>
      <c r="BJ16" s="8"/>
      <c r="BK16" s="9"/>
      <c r="BL16" s="10"/>
      <c r="BM16" s="5">
        <f t="shared" si="67"/>
        <v>12</v>
      </c>
      <c r="BN16" s="8"/>
      <c r="BO16" s="9"/>
      <c r="BP16" s="10"/>
      <c r="BQ16" s="5">
        <f t="shared" si="68"/>
        <v>12</v>
      </c>
      <c r="BR16" s="8"/>
      <c r="BS16" s="9"/>
      <c r="BT16" s="10"/>
    </row>
    <row r="17" spans="1:72" x14ac:dyDescent="0.25">
      <c r="A17" s="5">
        <f t="shared" si="51"/>
        <v>13</v>
      </c>
      <c r="B17" s="8"/>
      <c r="C17" s="9"/>
      <c r="D17" s="10"/>
      <c r="E17" s="5">
        <f t="shared" si="52"/>
        <v>13</v>
      </c>
      <c r="F17" s="8"/>
      <c r="G17" s="9"/>
      <c r="H17" s="10"/>
      <c r="I17" s="5">
        <f t="shared" si="53"/>
        <v>13</v>
      </c>
      <c r="J17" s="8"/>
      <c r="K17" s="9"/>
      <c r="L17" s="10"/>
      <c r="M17" s="5">
        <f t="shared" si="54"/>
        <v>13</v>
      </c>
      <c r="N17" s="8"/>
      <c r="O17" s="9"/>
      <c r="P17" s="10"/>
      <c r="Q17" s="5">
        <f t="shared" si="55"/>
        <v>13</v>
      </c>
      <c r="R17" s="8"/>
      <c r="S17" s="9"/>
      <c r="T17" s="10"/>
      <c r="U17" s="5">
        <f t="shared" si="56"/>
        <v>13</v>
      </c>
      <c r="V17" s="8"/>
      <c r="W17" s="9"/>
      <c r="X17" s="10"/>
      <c r="Y17" s="5">
        <f t="shared" si="57"/>
        <v>13</v>
      </c>
      <c r="Z17" s="8"/>
      <c r="AA17" s="9"/>
      <c r="AB17" s="10"/>
      <c r="AC17" s="5">
        <f t="shared" si="58"/>
        <v>13</v>
      </c>
      <c r="AD17" s="8"/>
      <c r="AE17" s="9"/>
      <c r="AF17" s="10"/>
      <c r="AG17" s="5">
        <f t="shared" si="59"/>
        <v>13</v>
      </c>
      <c r="AH17" s="8"/>
      <c r="AI17" s="9"/>
      <c r="AJ17" s="10"/>
      <c r="AK17" s="5">
        <f t="shared" si="60"/>
        <v>13</v>
      </c>
      <c r="AL17" s="8"/>
      <c r="AM17" s="9"/>
      <c r="AN17" s="10"/>
      <c r="AO17" s="5">
        <f t="shared" si="61"/>
        <v>13</v>
      </c>
      <c r="AP17" s="8"/>
      <c r="AQ17" s="9"/>
      <c r="AR17" s="10"/>
      <c r="AS17" s="5">
        <f t="shared" si="62"/>
        <v>13</v>
      </c>
      <c r="AT17" s="8"/>
      <c r="AU17" s="9"/>
      <c r="AV17" s="10"/>
      <c r="AW17" s="5">
        <f t="shared" si="63"/>
        <v>13</v>
      </c>
      <c r="AX17" s="8"/>
      <c r="AY17" s="9"/>
      <c r="AZ17" s="10"/>
      <c r="BA17" s="5">
        <f t="shared" si="64"/>
        <v>13</v>
      </c>
      <c r="BB17" s="8"/>
      <c r="BC17" s="9"/>
      <c r="BD17" s="10"/>
      <c r="BE17" s="5">
        <f t="shared" si="65"/>
        <v>13</v>
      </c>
      <c r="BF17" s="8"/>
      <c r="BG17" s="9"/>
      <c r="BH17" s="10"/>
      <c r="BI17" s="5">
        <f t="shared" si="66"/>
        <v>13</v>
      </c>
      <c r="BJ17" s="8"/>
      <c r="BK17" s="9"/>
      <c r="BL17" s="10"/>
      <c r="BM17" s="5">
        <f t="shared" si="67"/>
        <v>13</v>
      </c>
      <c r="BN17" s="8"/>
      <c r="BO17" s="9"/>
      <c r="BP17" s="10"/>
      <c r="BQ17" s="5">
        <f t="shared" si="68"/>
        <v>13</v>
      </c>
      <c r="BR17" s="8"/>
      <c r="BS17" s="9"/>
      <c r="BT17" s="10"/>
    </row>
    <row r="18" spans="1:72" x14ac:dyDescent="0.25">
      <c r="A18" s="5">
        <f t="shared" si="51"/>
        <v>14</v>
      </c>
      <c r="B18" s="8"/>
      <c r="C18" s="9"/>
      <c r="D18" s="10"/>
      <c r="E18" s="5">
        <f t="shared" si="52"/>
        <v>14</v>
      </c>
      <c r="F18" s="8"/>
      <c r="G18" s="9"/>
      <c r="H18" s="10"/>
      <c r="I18" s="5">
        <f t="shared" si="53"/>
        <v>14</v>
      </c>
      <c r="J18" s="8"/>
      <c r="K18" s="9"/>
      <c r="L18" s="10"/>
      <c r="M18" s="5">
        <f t="shared" si="54"/>
        <v>14</v>
      </c>
      <c r="N18" s="8"/>
      <c r="O18" s="9"/>
      <c r="P18" s="10"/>
      <c r="Q18" s="5">
        <f t="shared" si="55"/>
        <v>14</v>
      </c>
      <c r="R18" s="8"/>
      <c r="S18" s="9"/>
      <c r="T18" s="10"/>
      <c r="U18" s="5">
        <f t="shared" si="56"/>
        <v>14</v>
      </c>
      <c r="V18" s="8"/>
      <c r="W18" s="9"/>
      <c r="X18" s="10"/>
      <c r="Y18" s="5">
        <f t="shared" si="57"/>
        <v>14</v>
      </c>
      <c r="Z18" s="8"/>
      <c r="AA18" s="9"/>
      <c r="AB18" s="10"/>
      <c r="AC18" s="5">
        <f t="shared" si="58"/>
        <v>14</v>
      </c>
      <c r="AD18" s="8"/>
      <c r="AE18" s="9"/>
      <c r="AF18" s="10"/>
      <c r="AG18" s="5">
        <f t="shared" si="59"/>
        <v>14</v>
      </c>
      <c r="AH18" s="8"/>
      <c r="AI18" s="9"/>
      <c r="AJ18" s="10"/>
      <c r="AK18" s="5">
        <f t="shared" si="60"/>
        <v>14</v>
      </c>
      <c r="AL18" s="8"/>
      <c r="AM18" s="9"/>
      <c r="AN18" s="10"/>
      <c r="AO18" s="5">
        <f t="shared" si="61"/>
        <v>14</v>
      </c>
      <c r="AP18" s="8"/>
      <c r="AQ18" s="9"/>
      <c r="AR18" s="10"/>
      <c r="AS18" s="5">
        <f t="shared" si="62"/>
        <v>14</v>
      </c>
      <c r="AT18" s="8"/>
      <c r="AU18" s="9"/>
      <c r="AV18" s="10"/>
      <c r="AW18" s="5">
        <f t="shared" si="63"/>
        <v>14</v>
      </c>
      <c r="AX18" s="8"/>
      <c r="AY18" s="9"/>
      <c r="AZ18" s="10"/>
      <c r="BA18" s="5">
        <f t="shared" si="64"/>
        <v>14</v>
      </c>
      <c r="BB18" s="8"/>
      <c r="BC18" s="9"/>
      <c r="BD18" s="10"/>
      <c r="BE18" s="5">
        <f t="shared" si="65"/>
        <v>14</v>
      </c>
      <c r="BF18" s="8"/>
      <c r="BG18" s="9"/>
      <c r="BH18" s="10"/>
      <c r="BI18" s="5">
        <f t="shared" si="66"/>
        <v>14</v>
      </c>
      <c r="BJ18" s="8"/>
      <c r="BK18" s="9"/>
      <c r="BL18" s="10"/>
      <c r="BM18" s="5">
        <f t="shared" si="67"/>
        <v>14</v>
      </c>
      <c r="BN18" s="8"/>
      <c r="BO18" s="9"/>
      <c r="BP18" s="10"/>
      <c r="BQ18" s="5">
        <f t="shared" si="68"/>
        <v>14</v>
      </c>
      <c r="BR18" s="8"/>
      <c r="BS18" s="9"/>
      <c r="BT18" s="10"/>
    </row>
    <row r="19" spans="1:72" x14ac:dyDescent="0.25">
      <c r="A19" s="5">
        <f t="shared" si="51"/>
        <v>15</v>
      </c>
      <c r="B19" s="8"/>
      <c r="C19" s="9"/>
      <c r="D19" s="10"/>
      <c r="E19" s="5">
        <f t="shared" si="52"/>
        <v>15</v>
      </c>
      <c r="F19" s="8"/>
      <c r="G19" s="9"/>
      <c r="H19" s="10"/>
      <c r="I19" s="5">
        <f t="shared" si="53"/>
        <v>15</v>
      </c>
      <c r="J19" s="8"/>
      <c r="K19" s="9"/>
      <c r="L19" s="10"/>
      <c r="M19" s="5">
        <f t="shared" si="54"/>
        <v>15</v>
      </c>
      <c r="N19" s="8"/>
      <c r="O19" s="9"/>
      <c r="P19" s="10"/>
      <c r="Q19" s="5">
        <f t="shared" si="55"/>
        <v>15</v>
      </c>
      <c r="R19" s="8"/>
      <c r="S19" s="9"/>
      <c r="T19" s="10"/>
      <c r="U19" s="5">
        <f t="shared" si="56"/>
        <v>15</v>
      </c>
      <c r="V19" s="8"/>
      <c r="W19" s="9"/>
      <c r="X19" s="10"/>
      <c r="Y19" s="5">
        <f t="shared" si="57"/>
        <v>15</v>
      </c>
      <c r="Z19" s="8"/>
      <c r="AA19" s="9"/>
      <c r="AB19" s="10"/>
      <c r="AC19" s="5">
        <f t="shared" si="58"/>
        <v>15</v>
      </c>
      <c r="AD19" s="8"/>
      <c r="AE19" s="9"/>
      <c r="AF19" s="10"/>
      <c r="AG19" s="5">
        <f t="shared" si="59"/>
        <v>15</v>
      </c>
      <c r="AH19" s="8"/>
      <c r="AI19" s="9"/>
      <c r="AJ19" s="10"/>
      <c r="AK19" s="5">
        <f t="shared" si="60"/>
        <v>15</v>
      </c>
      <c r="AL19" s="8"/>
      <c r="AM19" s="9"/>
      <c r="AN19" s="10"/>
      <c r="AO19" s="5">
        <f t="shared" si="61"/>
        <v>15</v>
      </c>
      <c r="AP19" s="8"/>
      <c r="AQ19" s="9"/>
      <c r="AR19" s="10"/>
      <c r="AS19" s="5">
        <f t="shared" si="62"/>
        <v>15</v>
      </c>
      <c r="AT19" s="8"/>
      <c r="AU19" s="9"/>
      <c r="AV19" s="10"/>
      <c r="AW19" s="5">
        <f t="shared" si="63"/>
        <v>15</v>
      </c>
      <c r="AX19" s="8"/>
      <c r="AY19" s="9"/>
      <c r="AZ19" s="10"/>
      <c r="BA19" s="5">
        <f t="shared" si="64"/>
        <v>15</v>
      </c>
      <c r="BB19" s="8"/>
      <c r="BC19" s="9"/>
      <c r="BD19" s="10"/>
      <c r="BE19" s="5">
        <f t="shared" si="65"/>
        <v>15</v>
      </c>
      <c r="BF19" s="8"/>
      <c r="BG19" s="9"/>
      <c r="BH19" s="10"/>
      <c r="BI19" s="5">
        <f t="shared" si="66"/>
        <v>15</v>
      </c>
      <c r="BJ19" s="8"/>
      <c r="BK19" s="9"/>
      <c r="BL19" s="10"/>
      <c r="BM19" s="5">
        <f t="shared" si="67"/>
        <v>15</v>
      </c>
      <c r="BN19" s="8"/>
      <c r="BO19" s="9"/>
      <c r="BP19" s="10"/>
      <c r="BQ19" s="5">
        <f t="shared" si="68"/>
        <v>15</v>
      </c>
      <c r="BR19" s="8"/>
      <c r="BS19" s="9"/>
      <c r="BT19" s="10"/>
    </row>
    <row r="20" spans="1:72" x14ac:dyDescent="0.25">
      <c r="A20" s="5">
        <f t="shared" si="51"/>
        <v>16</v>
      </c>
      <c r="B20" s="8"/>
      <c r="C20" s="9"/>
      <c r="D20" s="10"/>
      <c r="E20" s="5">
        <f t="shared" si="52"/>
        <v>16</v>
      </c>
      <c r="F20" s="8"/>
      <c r="G20" s="9"/>
      <c r="H20" s="10"/>
      <c r="I20" s="5">
        <f t="shared" si="53"/>
        <v>16</v>
      </c>
      <c r="J20" s="8"/>
      <c r="K20" s="9"/>
      <c r="L20" s="10"/>
      <c r="M20" s="5">
        <f t="shared" si="54"/>
        <v>16</v>
      </c>
      <c r="N20" s="8"/>
      <c r="O20" s="9"/>
      <c r="P20" s="10"/>
      <c r="Q20" s="5">
        <f t="shared" si="55"/>
        <v>16</v>
      </c>
      <c r="R20" s="8"/>
      <c r="S20" s="9"/>
      <c r="T20" s="10"/>
      <c r="U20" s="5">
        <f t="shared" si="56"/>
        <v>16</v>
      </c>
      <c r="V20" s="8"/>
      <c r="W20" s="9"/>
      <c r="X20" s="10"/>
      <c r="Y20" s="5">
        <f t="shared" si="57"/>
        <v>16</v>
      </c>
      <c r="Z20" s="8"/>
      <c r="AA20" s="9"/>
      <c r="AB20" s="10"/>
      <c r="AC20" s="5">
        <f t="shared" si="58"/>
        <v>16</v>
      </c>
      <c r="AD20" s="8"/>
      <c r="AE20" s="9"/>
      <c r="AF20" s="10"/>
      <c r="AG20" s="5">
        <f t="shared" si="59"/>
        <v>16</v>
      </c>
      <c r="AH20" s="8"/>
      <c r="AI20" s="9"/>
      <c r="AJ20" s="10"/>
      <c r="AK20" s="5">
        <f t="shared" si="60"/>
        <v>16</v>
      </c>
      <c r="AL20" s="8"/>
      <c r="AM20" s="9"/>
      <c r="AN20" s="10"/>
      <c r="AO20" s="5">
        <f t="shared" si="61"/>
        <v>16</v>
      </c>
      <c r="AP20" s="8"/>
      <c r="AQ20" s="9"/>
      <c r="AR20" s="10"/>
      <c r="AS20" s="5">
        <f t="shared" si="62"/>
        <v>16</v>
      </c>
      <c r="AT20" s="8"/>
      <c r="AU20" s="9"/>
      <c r="AV20" s="10"/>
      <c r="AW20" s="5">
        <f t="shared" si="63"/>
        <v>16</v>
      </c>
      <c r="AX20" s="8"/>
      <c r="AY20" s="9"/>
      <c r="AZ20" s="10"/>
      <c r="BA20" s="5">
        <f t="shared" si="64"/>
        <v>16</v>
      </c>
      <c r="BB20" s="8"/>
      <c r="BC20" s="9"/>
      <c r="BD20" s="10"/>
      <c r="BE20" s="5">
        <f t="shared" si="65"/>
        <v>16</v>
      </c>
      <c r="BF20" s="8"/>
      <c r="BG20" s="9"/>
      <c r="BH20" s="10"/>
      <c r="BI20" s="5">
        <f t="shared" si="66"/>
        <v>16</v>
      </c>
      <c r="BJ20" s="8"/>
      <c r="BK20" s="9"/>
      <c r="BL20" s="10"/>
      <c r="BM20" s="5">
        <f t="shared" si="67"/>
        <v>16</v>
      </c>
      <c r="BN20" s="8"/>
      <c r="BO20" s="9"/>
      <c r="BP20" s="10"/>
      <c r="BQ20" s="5">
        <f t="shared" si="68"/>
        <v>16</v>
      </c>
      <c r="BR20" s="8"/>
      <c r="BS20" s="9"/>
      <c r="BT20" s="10"/>
    </row>
    <row r="21" spans="1:72" x14ac:dyDescent="0.25">
      <c r="A21" s="5">
        <f t="shared" si="51"/>
        <v>17</v>
      </c>
      <c r="B21" s="8"/>
      <c r="C21" s="9"/>
      <c r="D21" s="10"/>
      <c r="E21" s="5">
        <f t="shared" si="52"/>
        <v>17</v>
      </c>
      <c r="F21" s="8"/>
      <c r="G21" s="9"/>
      <c r="H21" s="10"/>
      <c r="I21" s="5">
        <f t="shared" si="53"/>
        <v>17</v>
      </c>
      <c r="J21" s="8"/>
      <c r="K21" s="9"/>
      <c r="L21" s="10"/>
      <c r="M21" s="5">
        <f t="shared" si="54"/>
        <v>17</v>
      </c>
      <c r="N21" s="8"/>
      <c r="O21" s="9"/>
      <c r="P21" s="10"/>
      <c r="Q21" s="5">
        <f t="shared" si="55"/>
        <v>17</v>
      </c>
      <c r="R21" s="8"/>
      <c r="S21" s="9"/>
      <c r="T21" s="10"/>
      <c r="U21" s="5">
        <f t="shared" si="56"/>
        <v>17</v>
      </c>
      <c r="V21" s="8"/>
      <c r="W21" s="9"/>
      <c r="X21" s="10"/>
      <c r="Y21" s="5">
        <f t="shared" si="57"/>
        <v>17</v>
      </c>
      <c r="Z21" s="8"/>
      <c r="AA21" s="9"/>
      <c r="AB21" s="10"/>
      <c r="AC21" s="5">
        <f t="shared" si="58"/>
        <v>17</v>
      </c>
      <c r="AD21" s="8"/>
      <c r="AE21" s="9"/>
      <c r="AF21" s="10"/>
      <c r="AG21" s="5">
        <f t="shared" si="59"/>
        <v>17</v>
      </c>
      <c r="AH21" s="8"/>
      <c r="AI21" s="9"/>
      <c r="AJ21" s="10"/>
      <c r="AK21" s="5">
        <f t="shared" si="60"/>
        <v>17</v>
      </c>
      <c r="AL21" s="8"/>
      <c r="AM21" s="9"/>
      <c r="AN21" s="10"/>
      <c r="AO21" s="5">
        <f t="shared" si="61"/>
        <v>17</v>
      </c>
      <c r="AP21" s="8"/>
      <c r="AQ21" s="9"/>
      <c r="AR21" s="10"/>
      <c r="AS21" s="5">
        <f t="shared" si="62"/>
        <v>17</v>
      </c>
      <c r="AT21" s="8"/>
      <c r="AU21" s="9"/>
      <c r="AV21" s="10"/>
      <c r="AW21" s="5">
        <f t="shared" si="63"/>
        <v>17</v>
      </c>
      <c r="AX21" s="8"/>
      <c r="AY21" s="9"/>
      <c r="AZ21" s="10"/>
      <c r="BA21" s="5">
        <f t="shared" si="64"/>
        <v>17</v>
      </c>
      <c r="BB21" s="8"/>
      <c r="BC21" s="9"/>
      <c r="BD21" s="10"/>
      <c r="BE21" s="5">
        <f t="shared" ref="BE21" si="69">BE20+1</f>
        <v>17</v>
      </c>
      <c r="BF21" s="8"/>
      <c r="BG21" s="9"/>
      <c r="BH21" s="10"/>
      <c r="BI21" s="5">
        <f t="shared" ref="BI21" si="70">BI20+1</f>
        <v>17</v>
      </c>
      <c r="BJ21" s="8"/>
      <c r="BK21" s="9"/>
      <c r="BL21" s="10"/>
      <c r="BM21" s="5">
        <f t="shared" ref="BM21" si="71">BM20+1</f>
        <v>17</v>
      </c>
      <c r="BN21" s="8"/>
      <c r="BO21" s="9"/>
      <c r="BP21" s="10"/>
      <c r="BQ21" s="5">
        <f t="shared" ref="BQ21" si="72">BQ20+1</f>
        <v>17</v>
      </c>
      <c r="BR21" s="8"/>
      <c r="BS21" s="9"/>
      <c r="BT21" s="10"/>
    </row>
    <row r="22" spans="1:72" x14ac:dyDescent="0.25">
      <c r="A22" s="5">
        <f t="shared" si="51"/>
        <v>18</v>
      </c>
      <c r="B22" s="8"/>
      <c r="C22" s="9"/>
      <c r="D22" s="10"/>
      <c r="E22" s="5">
        <f t="shared" si="52"/>
        <v>18</v>
      </c>
      <c r="F22" s="8"/>
      <c r="G22" s="9"/>
      <c r="H22" s="10"/>
      <c r="I22" s="5">
        <f t="shared" si="53"/>
        <v>18</v>
      </c>
      <c r="J22" s="8"/>
      <c r="K22" s="9"/>
      <c r="L22" s="10"/>
      <c r="M22" s="5">
        <f t="shared" si="54"/>
        <v>18</v>
      </c>
      <c r="N22" s="8"/>
      <c r="O22" s="9"/>
      <c r="P22" s="10"/>
      <c r="Q22" s="5">
        <f t="shared" si="55"/>
        <v>18</v>
      </c>
      <c r="R22" s="8"/>
      <c r="S22" s="9"/>
      <c r="T22" s="10"/>
      <c r="U22" s="5">
        <f t="shared" si="56"/>
        <v>18</v>
      </c>
      <c r="V22" s="8"/>
      <c r="W22" s="9"/>
      <c r="X22" s="10"/>
      <c r="Y22" s="5">
        <f t="shared" si="57"/>
        <v>18</v>
      </c>
      <c r="Z22" s="8"/>
      <c r="AA22" s="9"/>
      <c r="AB22" s="10"/>
      <c r="AC22" s="5">
        <f t="shared" si="58"/>
        <v>18</v>
      </c>
      <c r="AD22" s="8"/>
      <c r="AE22" s="9"/>
      <c r="AF22" s="10"/>
      <c r="AG22" s="5">
        <f t="shared" si="59"/>
        <v>18</v>
      </c>
      <c r="AH22" s="8"/>
      <c r="AI22" s="9"/>
      <c r="AJ22" s="10"/>
      <c r="AK22" s="5">
        <f t="shared" si="60"/>
        <v>18</v>
      </c>
      <c r="AL22" s="8"/>
      <c r="AM22" s="9"/>
      <c r="AN22" s="10"/>
      <c r="AO22" s="5">
        <f t="shared" si="61"/>
        <v>18</v>
      </c>
      <c r="AP22" s="8"/>
      <c r="AQ22" s="9"/>
      <c r="AR22" s="10"/>
      <c r="AS22" s="5">
        <f t="shared" si="62"/>
        <v>18</v>
      </c>
      <c r="AT22" s="8"/>
      <c r="AU22" s="9"/>
      <c r="AV22" s="10"/>
      <c r="AW22" s="5">
        <f t="shared" si="63"/>
        <v>18</v>
      </c>
      <c r="AX22" s="8"/>
      <c r="AY22" s="9"/>
      <c r="AZ22" s="10"/>
      <c r="BA22" s="5">
        <f t="shared" si="64"/>
        <v>18</v>
      </c>
      <c r="BB22" s="8"/>
      <c r="BC22" s="9"/>
      <c r="BD22" s="10"/>
      <c r="BE22" s="5">
        <f t="shared" si="65"/>
        <v>18</v>
      </c>
      <c r="BF22" s="8"/>
      <c r="BG22" s="9"/>
      <c r="BH22" s="10"/>
      <c r="BI22" s="5">
        <f t="shared" si="66"/>
        <v>18</v>
      </c>
      <c r="BJ22" s="8"/>
      <c r="BK22" s="9"/>
      <c r="BL22" s="10"/>
      <c r="BM22" s="5">
        <f t="shared" si="67"/>
        <v>18</v>
      </c>
      <c r="BN22" s="8"/>
      <c r="BO22" s="9"/>
      <c r="BP22" s="10"/>
      <c r="BQ22" s="5">
        <f t="shared" si="68"/>
        <v>18</v>
      </c>
      <c r="BR22" s="8"/>
      <c r="BS22" s="9"/>
      <c r="BT22" s="10"/>
    </row>
    <row r="23" spans="1:72" x14ac:dyDescent="0.25">
      <c r="A23" s="5">
        <f t="shared" si="51"/>
        <v>19</v>
      </c>
      <c r="B23" s="8"/>
      <c r="C23" s="9"/>
      <c r="D23" s="10"/>
      <c r="E23" s="5">
        <f t="shared" si="52"/>
        <v>19</v>
      </c>
      <c r="F23" s="8"/>
      <c r="G23" s="9"/>
      <c r="H23" s="10"/>
      <c r="I23" s="5">
        <f t="shared" si="53"/>
        <v>19</v>
      </c>
      <c r="J23" s="8"/>
      <c r="K23" s="9"/>
      <c r="L23" s="10"/>
      <c r="M23" s="5">
        <f t="shared" si="54"/>
        <v>19</v>
      </c>
      <c r="N23" s="8"/>
      <c r="O23" s="9"/>
      <c r="P23" s="10"/>
      <c r="Q23" s="5">
        <f t="shared" si="55"/>
        <v>19</v>
      </c>
      <c r="R23" s="8"/>
      <c r="S23" s="9"/>
      <c r="T23" s="10"/>
      <c r="U23" s="5">
        <f t="shared" si="56"/>
        <v>19</v>
      </c>
      <c r="V23" s="8"/>
      <c r="W23" s="9"/>
      <c r="X23" s="10"/>
      <c r="Y23" s="5">
        <f t="shared" si="57"/>
        <v>19</v>
      </c>
      <c r="Z23" s="8"/>
      <c r="AA23" s="9"/>
      <c r="AB23" s="10"/>
      <c r="AC23" s="5">
        <f t="shared" si="58"/>
        <v>19</v>
      </c>
      <c r="AD23" s="8"/>
      <c r="AE23" s="9"/>
      <c r="AF23" s="10"/>
      <c r="AG23" s="5">
        <f t="shared" si="59"/>
        <v>19</v>
      </c>
      <c r="AH23" s="8"/>
      <c r="AI23" s="9"/>
      <c r="AJ23" s="10"/>
      <c r="AK23" s="5">
        <f t="shared" si="60"/>
        <v>19</v>
      </c>
      <c r="AL23" s="8"/>
      <c r="AM23" s="9"/>
      <c r="AN23" s="10"/>
      <c r="AO23" s="5">
        <f t="shared" si="61"/>
        <v>19</v>
      </c>
      <c r="AP23" s="8"/>
      <c r="AQ23" s="9"/>
      <c r="AR23" s="10"/>
      <c r="AS23" s="5">
        <f t="shared" si="62"/>
        <v>19</v>
      </c>
      <c r="AT23" s="8"/>
      <c r="AU23" s="9"/>
      <c r="AV23" s="10"/>
      <c r="AW23" s="5">
        <f t="shared" si="63"/>
        <v>19</v>
      </c>
      <c r="AX23" s="8"/>
      <c r="AY23" s="9"/>
      <c r="AZ23" s="10"/>
      <c r="BA23" s="5">
        <f t="shared" si="64"/>
        <v>19</v>
      </c>
      <c r="BB23" s="8"/>
      <c r="BC23" s="9"/>
      <c r="BD23" s="10"/>
      <c r="BE23" s="5">
        <f t="shared" si="65"/>
        <v>19</v>
      </c>
      <c r="BF23" s="8"/>
      <c r="BG23" s="9"/>
      <c r="BH23" s="10"/>
      <c r="BI23" s="5">
        <f t="shared" si="66"/>
        <v>19</v>
      </c>
      <c r="BJ23" s="8"/>
      <c r="BK23" s="9"/>
      <c r="BL23" s="10"/>
      <c r="BM23" s="5">
        <f t="shared" si="67"/>
        <v>19</v>
      </c>
      <c r="BN23" s="8"/>
      <c r="BO23" s="9"/>
      <c r="BP23" s="10"/>
      <c r="BQ23" s="5">
        <f t="shared" si="68"/>
        <v>19</v>
      </c>
      <c r="BR23" s="8"/>
      <c r="BS23" s="9"/>
      <c r="BT23" s="10"/>
    </row>
    <row r="24" spans="1:72" x14ac:dyDescent="0.25">
      <c r="A24" s="5">
        <f t="shared" si="51"/>
        <v>20</v>
      </c>
      <c r="B24" s="8"/>
      <c r="C24" s="9"/>
      <c r="D24" s="10"/>
      <c r="E24" s="5">
        <f t="shared" si="52"/>
        <v>20</v>
      </c>
      <c r="F24" s="8"/>
      <c r="G24" s="9"/>
      <c r="H24" s="10"/>
      <c r="I24" s="5">
        <f t="shared" si="53"/>
        <v>20</v>
      </c>
      <c r="J24" s="8"/>
      <c r="K24" s="9"/>
      <c r="L24" s="10"/>
      <c r="M24" s="5">
        <f t="shared" si="54"/>
        <v>20</v>
      </c>
      <c r="N24" s="8"/>
      <c r="O24" s="9"/>
      <c r="P24" s="10"/>
      <c r="Q24" s="5">
        <f t="shared" si="55"/>
        <v>20</v>
      </c>
      <c r="R24" s="8"/>
      <c r="S24" s="9"/>
      <c r="T24" s="10"/>
      <c r="U24" s="5">
        <f t="shared" si="56"/>
        <v>20</v>
      </c>
      <c r="V24" s="8"/>
      <c r="W24" s="9"/>
      <c r="X24" s="10"/>
      <c r="Y24" s="5">
        <f t="shared" si="57"/>
        <v>20</v>
      </c>
      <c r="Z24" s="8"/>
      <c r="AA24" s="9"/>
      <c r="AB24" s="10"/>
      <c r="AC24" s="5">
        <f t="shared" si="58"/>
        <v>20</v>
      </c>
      <c r="AD24" s="8"/>
      <c r="AE24" s="9"/>
      <c r="AF24" s="10"/>
      <c r="AG24" s="5">
        <f t="shared" si="59"/>
        <v>20</v>
      </c>
      <c r="AH24" s="8"/>
      <c r="AI24" s="9"/>
      <c r="AJ24" s="10"/>
      <c r="AK24" s="5">
        <f t="shared" si="60"/>
        <v>20</v>
      </c>
      <c r="AL24" s="8"/>
      <c r="AM24" s="9"/>
      <c r="AN24" s="10"/>
      <c r="AO24" s="5">
        <f t="shared" si="61"/>
        <v>20</v>
      </c>
      <c r="AP24" s="8"/>
      <c r="AQ24" s="9"/>
      <c r="AR24" s="10"/>
      <c r="AS24" s="5">
        <f t="shared" si="62"/>
        <v>20</v>
      </c>
      <c r="AT24" s="8"/>
      <c r="AU24" s="9"/>
      <c r="AV24" s="10"/>
      <c r="AW24" s="5">
        <f t="shared" si="63"/>
        <v>20</v>
      </c>
      <c r="AX24" s="8"/>
      <c r="AY24" s="9"/>
      <c r="AZ24" s="10"/>
      <c r="BA24" s="5">
        <f t="shared" si="64"/>
        <v>20</v>
      </c>
      <c r="BB24" s="8"/>
      <c r="BC24" s="9"/>
      <c r="BD24" s="10"/>
      <c r="BE24" s="5">
        <f t="shared" si="65"/>
        <v>20</v>
      </c>
      <c r="BF24" s="8"/>
      <c r="BG24" s="9"/>
      <c r="BH24" s="10"/>
      <c r="BI24" s="5">
        <f t="shared" si="66"/>
        <v>20</v>
      </c>
      <c r="BJ24" s="8"/>
      <c r="BK24" s="9"/>
      <c r="BL24" s="10"/>
      <c r="BM24" s="5">
        <f t="shared" si="67"/>
        <v>20</v>
      </c>
      <c r="BN24" s="8"/>
      <c r="BO24" s="9"/>
      <c r="BP24" s="10"/>
      <c r="BQ24" s="5">
        <f t="shared" si="68"/>
        <v>20</v>
      </c>
      <c r="BR24" s="8"/>
      <c r="BS24" s="9"/>
      <c r="BT24" s="10"/>
    </row>
    <row r="25" spans="1:72" x14ac:dyDescent="0.25">
      <c r="A25" s="5">
        <f t="shared" si="51"/>
        <v>21</v>
      </c>
      <c r="B25" s="8"/>
      <c r="C25" s="9"/>
      <c r="D25" s="10"/>
      <c r="E25" s="5">
        <f t="shared" si="52"/>
        <v>21</v>
      </c>
      <c r="F25" s="8"/>
      <c r="G25" s="9"/>
      <c r="H25" s="10"/>
      <c r="I25" s="5">
        <f t="shared" si="53"/>
        <v>21</v>
      </c>
      <c r="J25" s="8"/>
      <c r="K25" s="9"/>
      <c r="L25" s="10"/>
      <c r="M25" s="5">
        <f t="shared" si="54"/>
        <v>21</v>
      </c>
      <c r="N25" s="8"/>
      <c r="O25" s="9"/>
      <c r="P25" s="10"/>
      <c r="Q25" s="5">
        <f t="shared" si="55"/>
        <v>21</v>
      </c>
      <c r="R25" s="8"/>
      <c r="S25" s="9"/>
      <c r="T25" s="10"/>
      <c r="U25" s="5">
        <f t="shared" si="56"/>
        <v>21</v>
      </c>
      <c r="V25" s="8"/>
      <c r="W25" s="9"/>
      <c r="X25" s="10"/>
      <c r="Y25" s="5">
        <f t="shared" si="57"/>
        <v>21</v>
      </c>
      <c r="Z25" s="8"/>
      <c r="AA25" s="9"/>
      <c r="AB25" s="10"/>
      <c r="AC25" s="5">
        <f t="shared" si="58"/>
        <v>21</v>
      </c>
      <c r="AD25" s="8"/>
      <c r="AE25" s="9"/>
      <c r="AF25" s="10"/>
      <c r="AG25" s="5">
        <f t="shared" si="59"/>
        <v>21</v>
      </c>
      <c r="AH25" s="8"/>
      <c r="AI25" s="9"/>
      <c r="AJ25" s="10"/>
      <c r="AK25" s="5">
        <f t="shared" si="60"/>
        <v>21</v>
      </c>
      <c r="AL25" s="8"/>
      <c r="AM25" s="9"/>
      <c r="AN25" s="10"/>
      <c r="AO25" s="5">
        <f t="shared" si="61"/>
        <v>21</v>
      </c>
      <c r="AP25" s="8"/>
      <c r="AQ25" s="9"/>
      <c r="AR25" s="10"/>
      <c r="AS25" s="5">
        <f t="shared" si="62"/>
        <v>21</v>
      </c>
      <c r="AT25" s="8"/>
      <c r="AU25" s="9"/>
      <c r="AV25" s="10"/>
      <c r="AW25" s="5">
        <f t="shared" si="63"/>
        <v>21</v>
      </c>
      <c r="AX25" s="8"/>
      <c r="AY25" s="9"/>
      <c r="AZ25" s="10"/>
      <c r="BA25" s="5">
        <f t="shared" si="64"/>
        <v>21</v>
      </c>
      <c r="BB25" s="8"/>
      <c r="BC25" s="9"/>
      <c r="BD25" s="10"/>
      <c r="BE25" s="5">
        <f t="shared" si="65"/>
        <v>21</v>
      </c>
      <c r="BF25" s="8"/>
      <c r="BG25" s="9"/>
      <c r="BH25" s="10"/>
      <c r="BI25" s="5">
        <f t="shared" si="66"/>
        <v>21</v>
      </c>
      <c r="BJ25" s="8"/>
      <c r="BK25" s="9"/>
      <c r="BL25" s="10"/>
      <c r="BM25" s="5">
        <f t="shared" si="67"/>
        <v>21</v>
      </c>
      <c r="BN25" s="8"/>
      <c r="BO25" s="9"/>
      <c r="BP25" s="10"/>
      <c r="BQ25" s="5">
        <f t="shared" si="68"/>
        <v>21</v>
      </c>
      <c r="BR25" s="8"/>
      <c r="BS25" s="9"/>
      <c r="BT25" s="10"/>
    </row>
    <row r="26" spans="1:72" x14ac:dyDescent="0.25">
      <c r="A26" s="5">
        <f t="shared" si="51"/>
        <v>22</v>
      </c>
      <c r="B26" s="8"/>
      <c r="C26" s="9"/>
      <c r="D26" s="10"/>
      <c r="E26" s="5">
        <f t="shared" si="52"/>
        <v>22</v>
      </c>
      <c r="F26" s="8"/>
      <c r="G26" s="9"/>
      <c r="H26" s="10"/>
      <c r="I26" s="5">
        <f t="shared" si="53"/>
        <v>22</v>
      </c>
      <c r="J26" s="8"/>
      <c r="K26" s="9"/>
      <c r="L26" s="10"/>
      <c r="M26" s="5">
        <f t="shared" si="54"/>
        <v>22</v>
      </c>
      <c r="N26" s="8"/>
      <c r="O26" s="9"/>
      <c r="P26" s="10"/>
      <c r="Q26" s="5">
        <f t="shared" si="55"/>
        <v>22</v>
      </c>
      <c r="R26" s="8"/>
      <c r="S26" s="9"/>
      <c r="T26" s="10"/>
      <c r="U26" s="5">
        <f t="shared" si="56"/>
        <v>22</v>
      </c>
      <c r="V26" s="8"/>
      <c r="W26" s="9"/>
      <c r="X26" s="10"/>
      <c r="Y26" s="5">
        <f t="shared" si="57"/>
        <v>22</v>
      </c>
      <c r="Z26" s="8"/>
      <c r="AA26" s="9"/>
      <c r="AB26" s="10"/>
      <c r="AC26" s="5">
        <f t="shared" si="58"/>
        <v>22</v>
      </c>
      <c r="AD26" s="8"/>
      <c r="AE26" s="9"/>
      <c r="AF26" s="10"/>
      <c r="AG26" s="5">
        <f t="shared" si="59"/>
        <v>22</v>
      </c>
      <c r="AH26" s="8"/>
      <c r="AI26" s="9"/>
      <c r="AJ26" s="10"/>
      <c r="AK26" s="5">
        <f t="shared" si="60"/>
        <v>22</v>
      </c>
      <c r="AL26" s="8"/>
      <c r="AM26" s="9"/>
      <c r="AN26" s="10"/>
      <c r="AO26" s="5">
        <f t="shared" si="61"/>
        <v>22</v>
      </c>
      <c r="AP26" s="8"/>
      <c r="AQ26" s="9"/>
      <c r="AR26" s="10"/>
      <c r="AS26" s="5">
        <f t="shared" si="62"/>
        <v>22</v>
      </c>
      <c r="AT26" s="8"/>
      <c r="AU26" s="9"/>
      <c r="AV26" s="10"/>
      <c r="AW26" s="5">
        <f t="shared" si="63"/>
        <v>22</v>
      </c>
      <c r="AX26" s="8"/>
      <c r="AY26" s="9"/>
      <c r="AZ26" s="10"/>
      <c r="BA26" s="5">
        <f t="shared" si="64"/>
        <v>22</v>
      </c>
      <c r="BB26" s="8"/>
      <c r="BC26" s="9"/>
      <c r="BD26" s="10"/>
      <c r="BE26" s="5">
        <f t="shared" si="65"/>
        <v>22</v>
      </c>
      <c r="BF26" s="8"/>
      <c r="BG26" s="9"/>
      <c r="BH26" s="10"/>
      <c r="BI26" s="5">
        <f t="shared" si="66"/>
        <v>22</v>
      </c>
      <c r="BJ26" s="8"/>
      <c r="BK26" s="9"/>
      <c r="BL26" s="10"/>
      <c r="BM26" s="5">
        <f t="shared" si="67"/>
        <v>22</v>
      </c>
      <c r="BN26" s="8"/>
      <c r="BO26" s="9"/>
      <c r="BP26" s="10"/>
      <c r="BQ26" s="5">
        <f t="shared" si="68"/>
        <v>22</v>
      </c>
      <c r="BR26" s="8"/>
      <c r="BS26" s="9"/>
      <c r="BT26" s="10"/>
    </row>
    <row r="27" spans="1:72" x14ac:dyDescent="0.25">
      <c r="A27" s="5">
        <f t="shared" si="51"/>
        <v>23</v>
      </c>
      <c r="B27" s="8"/>
      <c r="C27" s="9"/>
      <c r="D27" s="10"/>
      <c r="E27" s="5">
        <f t="shared" si="52"/>
        <v>23</v>
      </c>
      <c r="F27" s="8"/>
      <c r="G27" s="9"/>
      <c r="H27" s="10"/>
      <c r="I27" s="5">
        <f t="shared" si="53"/>
        <v>23</v>
      </c>
      <c r="J27" s="8"/>
      <c r="K27" s="9"/>
      <c r="L27" s="10"/>
      <c r="M27" s="5">
        <f t="shared" si="54"/>
        <v>23</v>
      </c>
      <c r="N27" s="8"/>
      <c r="O27" s="9"/>
      <c r="P27" s="10"/>
      <c r="Q27" s="5">
        <f t="shared" si="55"/>
        <v>23</v>
      </c>
      <c r="R27" s="8"/>
      <c r="S27" s="9"/>
      <c r="T27" s="10"/>
      <c r="U27" s="5">
        <f t="shared" si="56"/>
        <v>23</v>
      </c>
      <c r="V27" s="8"/>
      <c r="W27" s="9"/>
      <c r="X27" s="10"/>
      <c r="Y27" s="5">
        <f t="shared" si="57"/>
        <v>23</v>
      </c>
      <c r="Z27" s="8"/>
      <c r="AA27" s="9"/>
      <c r="AB27" s="10"/>
      <c r="AC27" s="5">
        <f t="shared" si="58"/>
        <v>23</v>
      </c>
      <c r="AD27" s="8"/>
      <c r="AE27" s="9"/>
      <c r="AF27" s="10"/>
      <c r="AG27" s="5">
        <f t="shared" si="59"/>
        <v>23</v>
      </c>
      <c r="AH27" s="8"/>
      <c r="AI27" s="9"/>
      <c r="AJ27" s="10"/>
      <c r="AK27" s="5">
        <f t="shared" si="60"/>
        <v>23</v>
      </c>
      <c r="AL27" s="8"/>
      <c r="AM27" s="9"/>
      <c r="AN27" s="10"/>
      <c r="AO27" s="5">
        <f t="shared" si="61"/>
        <v>23</v>
      </c>
      <c r="AP27" s="8"/>
      <c r="AQ27" s="9"/>
      <c r="AR27" s="10"/>
      <c r="AS27" s="5">
        <f t="shared" si="62"/>
        <v>23</v>
      </c>
      <c r="AT27" s="8"/>
      <c r="AU27" s="9"/>
      <c r="AV27" s="10"/>
      <c r="AW27" s="5">
        <f t="shared" si="63"/>
        <v>23</v>
      </c>
      <c r="AX27" s="8"/>
      <c r="AY27" s="9"/>
      <c r="AZ27" s="10"/>
      <c r="BA27" s="5">
        <f t="shared" si="64"/>
        <v>23</v>
      </c>
      <c r="BB27" s="8"/>
      <c r="BC27" s="9"/>
      <c r="BD27" s="10"/>
      <c r="BE27" s="5">
        <f t="shared" si="65"/>
        <v>23</v>
      </c>
      <c r="BF27" s="8"/>
      <c r="BG27" s="9"/>
      <c r="BH27" s="10"/>
      <c r="BI27" s="5">
        <f t="shared" si="66"/>
        <v>23</v>
      </c>
      <c r="BJ27" s="8"/>
      <c r="BK27" s="9"/>
      <c r="BL27" s="10"/>
      <c r="BM27" s="5">
        <f t="shared" si="67"/>
        <v>23</v>
      </c>
      <c r="BN27" s="8"/>
      <c r="BO27" s="9"/>
      <c r="BP27" s="10"/>
      <c r="BQ27" s="5">
        <f t="shared" si="68"/>
        <v>23</v>
      </c>
      <c r="BR27" s="8"/>
      <c r="BS27" s="9"/>
      <c r="BT27" s="10"/>
    </row>
    <row r="28" spans="1:72" x14ac:dyDescent="0.25">
      <c r="A28" s="5">
        <f t="shared" si="51"/>
        <v>24</v>
      </c>
      <c r="B28" s="8"/>
      <c r="C28" s="9"/>
      <c r="D28" s="10"/>
      <c r="E28" s="5">
        <f t="shared" si="52"/>
        <v>24</v>
      </c>
      <c r="F28" s="8"/>
      <c r="G28" s="9"/>
      <c r="H28" s="10"/>
      <c r="I28" s="5">
        <f t="shared" si="53"/>
        <v>24</v>
      </c>
      <c r="J28" s="8"/>
      <c r="K28" s="9"/>
      <c r="L28" s="10"/>
      <c r="M28" s="5">
        <f t="shared" si="54"/>
        <v>24</v>
      </c>
      <c r="N28" s="8"/>
      <c r="O28" s="9"/>
      <c r="P28" s="10"/>
      <c r="Q28" s="5">
        <f t="shared" si="55"/>
        <v>24</v>
      </c>
      <c r="R28" s="8"/>
      <c r="S28" s="9"/>
      <c r="T28" s="10"/>
      <c r="U28" s="5">
        <f t="shared" si="56"/>
        <v>24</v>
      </c>
      <c r="V28" s="8"/>
      <c r="W28" s="9"/>
      <c r="X28" s="10"/>
      <c r="Y28" s="5">
        <f t="shared" si="57"/>
        <v>24</v>
      </c>
      <c r="Z28" s="8"/>
      <c r="AA28" s="9"/>
      <c r="AB28" s="10"/>
      <c r="AC28" s="5">
        <f t="shared" si="58"/>
        <v>24</v>
      </c>
      <c r="AD28" s="8"/>
      <c r="AE28" s="9"/>
      <c r="AF28" s="10"/>
      <c r="AG28" s="5">
        <f t="shared" si="59"/>
        <v>24</v>
      </c>
      <c r="AH28" s="8"/>
      <c r="AI28" s="9"/>
      <c r="AJ28" s="10"/>
      <c r="AK28" s="5">
        <f t="shared" si="60"/>
        <v>24</v>
      </c>
      <c r="AL28" s="8"/>
      <c r="AM28" s="9"/>
      <c r="AN28" s="10"/>
      <c r="AO28" s="5">
        <f t="shared" si="61"/>
        <v>24</v>
      </c>
      <c r="AP28" s="8"/>
      <c r="AQ28" s="9"/>
      <c r="AR28" s="10"/>
      <c r="AS28" s="5">
        <f t="shared" si="62"/>
        <v>24</v>
      </c>
      <c r="AT28" s="8"/>
      <c r="AU28" s="9"/>
      <c r="AV28" s="10"/>
      <c r="AW28" s="5">
        <f t="shared" si="63"/>
        <v>24</v>
      </c>
      <c r="AX28" s="8"/>
      <c r="AY28" s="9"/>
      <c r="AZ28" s="10"/>
      <c r="BA28" s="5">
        <f t="shared" si="64"/>
        <v>24</v>
      </c>
      <c r="BB28" s="8"/>
      <c r="BC28" s="9"/>
      <c r="BD28" s="10"/>
      <c r="BE28" s="5">
        <f t="shared" si="65"/>
        <v>24</v>
      </c>
      <c r="BF28" s="8"/>
      <c r="BG28" s="9"/>
      <c r="BH28" s="10"/>
      <c r="BI28" s="5">
        <f t="shared" si="66"/>
        <v>24</v>
      </c>
      <c r="BJ28" s="8"/>
      <c r="BK28" s="9"/>
      <c r="BL28" s="10"/>
      <c r="BM28" s="5">
        <f t="shared" si="67"/>
        <v>24</v>
      </c>
      <c r="BN28" s="8"/>
      <c r="BO28" s="9"/>
      <c r="BP28" s="10"/>
      <c r="BQ28" s="5">
        <f t="shared" si="68"/>
        <v>24</v>
      </c>
      <c r="BR28" s="8"/>
      <c r="BS28" s="9"/>
      <c r="BT28" s="10"/>
    </row>
    <row r="29" spans="1:72" x14ac:dyDescent="0.25">
      <c r="A29" s="5">
        <f t="shared" si="51"/>
        <v>25</v>
      </c>
      <c r="B29" s="8"/>
      <c r="C29" s="9"/>
      <c r="D29" s="10"/>
      <c r="E29" s="5">
        <f t="shared" si="52"/>
        <v>25</v>
      </c>
      <c r="F29" s="8"/>
      <c r="G29" s="9"/>
      <c r="H29" s="10"/>
      <c r="I29" s="5">
        <f t="shared" si="53"/>
        <v>25</v>
      </c>
      <c r="J29" s="8"/>
      <c r="K29" s="9"/>
      <c r="L29" s="10"/>
      <c r="M29" s="5">
        <f t="shared" si="54"/>
        <v>25</v>
      </c>
      <c r="N29" s="8"/>
      <c r="O29" s="9"/>
      <c r="P29" s="10"/>
      <c r="Q29" s="5">
        <f t="shared" si="55"/>
        <v>25</v>
      </c>
      <c r="R29" s="8"/>
      <c r="S29" s="9"/>
      <c r="T29" s="10"/>
      <c r="U29" s="5">
        <f t="shared" si="56"/>
        <v>25</v>
      </c>
      <c r="V29" s="8"/>
      <c r="W29" s="9"/>
      <c r="X29" s="10"/>
      <c r="Y29" s="5">
        <f t="shared" si="57"/>
        <v>25</v>
      </c>
      <c r="Z29" s="8"/>
      <c r="AA29" s="9"/>
      <c r="AB29" s="10"/>
      <c r="AC29" s="5">
        <f t="shared" si="58"/>
        <v>25</v>
      </c>
      <c r="AD29" s="8"/>
      <c r="AE29" s="9"/>
      <c r="AF29" s="10"/>
      <c r="AG29" s="5">
        <f t="shared" si="59"/>
        <v>25</v>
      </c>
      <c r="AH29" s="8"/>
      <c r="AI29" s="9"/>
      <c r="AJ29" s="10"/>
      <c r="AK29" s="5">
        <f t="shared" si="60"/>
        <v>25</v>
      </c>
      <c r="AL29" s="8"/>
      <c r="AM29" s="9"/>
      <c r="AN29" s="10"/>
      <c r="AO29" s="5">
        <f t="shared" si="61"/>
        <v>25</v>
      </c>
      <c r="AP29" s="8"/>
      <c r="AQ29" s="9"/>
      <c r="AR29" s="10"/>
      <c r="AS29" s="5">
        <f t="shared" si="62"/>
        <v>25</v>
      </c>
      <c r="AT29" s="8"/>
      <c r="AU29" s="9"/>
      <c r="AV29" s="10"/>
      <c r="AW29" s="5">
        <f t="shared" si="63"/>
        <v>25</v>
      </c>
      <c r="AX29" s="8"/>
      <c r="AY29" s="9"/>
      <c r="AZ29" s="10"/>
      <c r="BA29" s="5">
        <f t="shared" si="64"/>
        <v>25</v>
      </c>
      <c r="BB29" s="8"/>
      <c r="BC29" s="9"/>
      <c r="BD29" s="10"/>
      <c r="BE29" s="5">
        <f t="shared" si="65"/>
        <v>25</v>
      </c>
      <c r="BF29" s="8"/>
      <c r="BG29" s="9"/>
      <c r="BH29" s="10"/>
      <c r="BI29" s="5">
        <f t="shared" si="66"/>
        <v>25</v>
      </c>
      <c r="BJ29" s="8"/>
      <c r="BK29" s="9"/>
      <c r="BL29" s="10"/>
      <c r="BM29" s="5">
        <f t="shared" si="67"/>
        <v>25</v>
      </c>
      <c r="BN29" s="8"/>
      <c r="BO29" s="9"/>
      <c r="BP29" s="10"/>
      <c r="BQ29" s="5">
        <f t="shared" si="68"/>
        <v>25</v>
      </c>
      <c r="BR29" s="8"/>
      <c r="BS29" s="9"/>
      <c r="BT29" s="10"/>
    </row>
    <row r="30" spans="1:72" x14ac:dyDescent="0.25">
      <c r="A30" s="5">
        <f t="shared" si="51"/>
        <v>26</v>
      </c>
      <c r="B30" s="8"/>
      <c r="C30" s="9"/>
      <c r="D30" s="10"/>
      <c r="E30" s="5">
        <f t="shared" si="52"/>
        <v>26</v>
      </c>
      <c r="F30" s="8"/>
      <c r="G30" s="9"/>
      <c r="H30" s="10"/>
      <c r="I30" s="5">
        <f t="shared" si="53"/>
        <v>26</v>
      </c>
      <c r="J30" s="8"/>
      <c r="K30" s="9"/>
      <c r="L30" s="10"/>
      <c r="M30" s="5">
        <f t="shared" si="54"/>
        <v>26</v>
      </c>
      <c r="N30" s="8"/>
      <c r="O30" s="9"/>
      <c r="P30" s="10"/>
      <c r="Q30" s="5">
        <f t="shared" si="55"/>
        <v>26</v>
      </c>
      <c r="R30" s="8"/>
      <c r="S30" s="9"/>
      <c r="T30" s="10"/>
      <c r="U30" s="5">
        <f t="shared" si="56"/>
        <v>26</v>
      </c>
      <c r="V30" s="8"/>
      <c r="W30" s="9"/>
      <c r="X30" s="10"/>
      <c r="Y30" s="5">
        <f t="shared" si="57"/>
        <v>26</v>
      </c>
      <c r="Z30" s="8"/>
      <c r="AA30" s="9"/>
      <c r="AB30" s="10"/>
      <c r="AC30" s="5">
        <f t="shared" si="58"/>
        <v>26</v>
      </c>
      <c r="AD30" s="8"/>
      <c r="AE30" s="9"/>
      <c r="AF30" s="10"/>
      <c r="AG30" s="5">
        <f t="shared" si="59"/>
        <v>26</v>
      </c>
      <c r="AH30" s="8"/>
      <c r="AI30" s="9"/>
      <c r="AJ30" s="10"/>
      <c r="AK30" s="5">
        <f t="shared" si="60"/>
        <v>26</v>
      </c>
      <c r="AL30" s="8"/>
      <c r="AM30" s="9"/>
      <c r="AN30" s="10"/>
      <c r="AO30" s="5">
        <f t="shared" si="61"/>
        <v>26</v>
      </c>
      <c r="AP30" s="8"/>
      <c r="AQ30" s="9"/>
      <c r="AR30" s="10"/>
      <c r="AS30" s="5">
        <f t="shared" si="62"/>
        <v>26</v>
      </c>
      <c r="AT30" s="8"/>
      <c r="AU30" s="9"/>
      <c r="AV30" s="10"/>
      <c r="AW30" s="5">
        <f t="shared" si="63"/>
        <v>26</v>
      </c>
      <c r="AX30" s="8"/>
      <c r="AY30" s="9"/>
      <c r="AZ30" s="10"/>
      <c r="BA30" s="5">
        <f t="shared" si="64"/>
        <v>26</v>
      </c>
      <c r="BB30" s="8"/>
      <c r="BC30" s="9"/>
      <c r="BD30" s="10"/>
      <c r="BE30" s="5">
        <f t="shared" si="65"/>
        <v>26</v>
      </c>
      <c r="BF30" s="8"/>
      <c r="BG30" s="9"/>
      <c r="BH30" s="10"/>
      <c r="BI30" s="5">
        <f t="shared" si="66"/>
        <v>26</v>
      </c>
      <c r="BJ30" s="8"/>
      <c r="BK30" s="9"/>
      <c r="BL30" s="10"/>
      <c r="BM30" s="5">
        <f t="shared" si="67"/>
        <v>26</v>
      </c>
      <c r="BN30" s="8"/>
      <c r="BO30" s="9"/>
      <c r="BP30" s="10"/>
      <c r="BQ30" s="5">
        <f t="shared" si="68"/>
        <v>26</v>
      </c>
      <c r="BR30" s="8"/>
      <c r="BS30" s="9"/>
      <c r="BT30" s="10"/>
    </row>
    <row r="31" spans="1:72" x14ac:dyDescent="0.25">
      <c r="A31" s="5">
        <f t="shared" si="51"/>
        <v>27</v>
      </c>
      <c r="B31" s="8"/>
      <c r="C31" s="9"/>
      <c r="D31" s="10"/>
      <c r="E31" s="5">
        <f t="shared" si="52"/>
        <v>27</v>
      </c>
      <c r="F31" s="8"/>
      <c r="G31" s="9"/>
      <c r="H31" s="10"/>
      <c r="I31" s="5">
        <f t="shared" si="53"/>
        <v>27</v>
      </c>
      <c r="J31" s="8"/>
      <c r="K31" s="9"/>
      <c r="L31" s="10"/>
      <c r="M31" s="5">
        <f t="shared" si="54"/>
        <v>27</v>
      </c>
      <c r="N31" s="8"/>
      <c r="O31" s="9"/>
      <c r="P31" s="10"/>
      <c r="Q31" s="5">
        <f t="shared" si="55"/>
        <v>27</v>
      </c>
      <c r="R31" s="8"/>
      <c r="S31" s="9"/>
      <c r="T31" s="10"/>
      <c r="U31" s="5">
        <f t="shared" si="56"/>
        <v>27</v>
      </c>
      <c r="V31" s="8"/>
      <c r="W31" s="9"/>
      <c r="X31" s="10"/>
      <c r="Y31" s="5">
        <f t="shared" si="57"/>
        <v>27</v>
      </c>
      <c r="Z31" s="8"/>
      <c r="AA31" s="9"/>
      <c r="AB31" s="10"/>
      <c r="AC31" s="5">
        <f t="shared" si="58"/>
        <v>27</v>
      </c>
      <c r="AD31" s="8"/>
      <c r="AE31" s="9"/>
      <c r="AF31" s="10"/>
      <c r="AG31" s="5">
        <f t="shared" si="59"/>
        <v>27</v>
      </c>
      <c r="AH31" s="8"/>
      <c r="AI31" s="9"/>
      <c r="AJ31" s="10"/>
      <c r="AK31" s="5">
        <f t="shared" si="60"/>
        <v>27</v>
      </c>
      <c r="AL31" s="8"/>
      <c r="AM31" s="9"/>
      <c r="AN31" s="10"/>
      <c r="AO31" s="5">
        <f t="shared" si="61"/>
        <v>27</v>
      </c>
      <c r="AP31" s="8"/>
      <c r="AQ31" s="9"/>
      <c r="AR31" s="10"/>
      <c r="AS31" s="5">
        <f t="shared" si="62"/>
        <v>27</v>
      </c>
      <c r="AT31" s="8"/>
      <c r="AU31" s="9"/>
      <c r="AV31" s="10"/>
      <c r="AW31" s="5">
        <f t="shared" si="63"/>
        <v>27</v>
      </c>
      <c r="AX31" s="8"/>
      <c r="AY31" s="9"/>
      <c r="AZ31" s="10"/>
      <c r="BA31" s="5">
        <f t="shared" si="64"/>
        <v>27</v>
      </c>
      <c r="BB31" s="8"/>
      <c r="BC31" s="9"/>
      <c r="BD31" s="10"/>
      <c r="BE31" s="5">
        <f t="shared" si="65"/>
        <v>27</v>
      </c>
      <c r="BF31" s="8"/>
      <c r="BG31" s="9"/>
      <c r="BH31" s="10"/>
      <c r="BI31" s="5">
        <f t="shared" si="66"/>
        <v>27</v>
      </c>
      <c r="BJ31" s="8"/>
      <c r="BK31" s="9"/>
      <c r="BL31" s="10"/>
      <c r="BM31" s="5">
        <f t="shared" si="67"/>
        <v>27</v>
      </c>
      <c r="BN31" s="8"/>
      <c r="BO31" s="9"/>
      <c r="BP31" s="10"/>
      <c r="BQ31" s="5">
        <f t="shared" si="68"/>
        <v>27</v>
      </c>
      <c r="BR31" s="8"/>
      <c r="BS31" s="9"/>
      <c r="BT31" s="10"/>
    </row>
    <row r="32" spans="1:72" x14ac:dyDescent="0.25">
      <c r="A32" s="5">
        <f t="shared" si="51"/>
        <v>28</v>
      </c>
      <c r="B32" s="8"/>
      <c r="C32" s="9"/>
      <c r="D32" s="10"/>
      <c r="E32" s="5">
        <f t="shared" si="52"/>
        <v>28</v>
      </c>
      <c r="F32" s="8"/>
      <c r="G32" s="9"/>
      <c r="H32" s="10"/>
      <c r="I32" s="5">
        <f t="shared" si="53"/>
        <v>28</v>
      </c>
      <c r="J32" s="8"/>
      <c r="K32" s="9"/>
      <c r="L32" s="10"/>
      <c r="M32" s="5">
        <f t="shared" si="54"/>
        <v>28</v>
      </c>
      <c r="N32" s="8"/>
      <c r="O32" s="9"/>
      <c r="P32" s="10"/>
      <c r="Q32" s="5">
        <f t="shared" si="55"/>
        <v>28</v>
      </c>
      <c r="R32" s="8"/>
      <c r="S32" s="9"/>
      <c r="T32" s="10"/>
      <c r="U32" s="5">
        <f t="shared" si="56"/>
        <v>28</v>
      </c>
      <c r="V32" s="8"/>
      <c r="W32" s="9"/>
      <c r="X32" s="10"/>
      <c r="Y32" s="5">
        <f t="shared" si="57"/>
        <v>28</v>
      </c>
      <c r="Z32" s="8"/>
      <c r="AA32" s="9"/>
      <c r="AB32" s="10"/>
      <c r="AC32" s="5">
        <f t="shared" si="58"/>
        <v>28</v>
      </c>
      <c r="AD32" s="8"/>
      <c r="AE32" s="9"/>
      <c r="AF32" s="10"/>
      <c r="AG32" s="5">
        <f t="shared" si="59"/>
        <v>28</v>
      </c>
      <c r="AH32" s="8"/>
      <c r="AI32" s="9"/>
      <c r="AJ32" s="10"/>
      <c r="AK32" s="5">
        <f t="shared" si="60"/>
        <v>28</v>
      </c>
      <c r="AL32" s="8"/>
      <c r="AM32" s="9"/>
      <c r="AN32" s="10"/>
      <c r="AO32" s="5">
        <f t="shared" si="61"/>
        <v>28</v>
      </c>
      <c r="AP32" s="8"/>
      <c r="AQ32" s="9"/>
      <c r="AR32" s="10"/>
      <c r="AS32" s="5">
        <f t="shared" si="62"/>
        <v>28</v>
      </c>
      <c r="AT32" s="8"/>
      <c r="AU32" s="9"/>
      <c r="AV32" s="10"/>
      <c r="AW32" s="5">
        <f t="shared" si="63"/>
        <v>28</v>
      </c>
      <c r="AX32" s="8"/>
      <c r="AY32" s="9"/>
      <c r="AZ32" s="10"/>
      <c r="BA32" s="5">
        <f t="shared" si="64"/>
        <v>28</v>
      </c>
      <c r="BB32" s="8"/>
      <c r="BC32" s="9"/>
      <c r="BD32" s="10"/>
      <c r="BE32" s="5">
        <f t="shared" si="65"/>
        <v>28</v>
      </c>
      <c r="BF32" s="8"/>
      <c r="BG32" s="9"/>
      <c r="BH32" s="10"/>
      <c r="BI32" s="5">
        <f t="shared" si="66"/>
        <v>28</v>
      </c>
      <c r="BJ32" s="8"/>
      <c r="BK32" s="9"/>
      <c r="BL32" s="10"/>
      <c r="BM32" s="5">
        <f t="shared" si="67"/>
        <v>28</v>
      </c>
      <c r="BN32" s="8"/>
      <c r="BO32" s="9"/>
      <c r="BP32" s="10"/>
      <c r="BQ32" s="5">
        <f t="shared" si="68"/>
        <v>28</v>
      </c>
      <c r="BR32" s="8"/>
      <c r="BS32" s="9"/>
      <c r="BT32" s="10"/>
    </row>
    <row r="33" spans="1:72" x14ac:dyDescent="0.25">
      <c r="A33" s="5">
        <f t="shared" si="51"/>
        <v>29</v>
      </c>
      <c r="B33" s="8"/>
      <c r="C33" s="9"/>
      <c r="D33" s="10"/>
      <c r="E33" s="5">
        <f t="shared" si="52"/>
        <v>29</v>
      </c>
      <c r="F33" s="8"/>
      <c r="G33" s="9"/>
      <c r="H33" s="10"/>
      <c r="I33" s="5">
        <f t="shared" si="53"/>
        <v>29</v>
      </c>
      <c r="J33" s="8"/>
      <c r="K33" s="9"/>
      <c r="L33" s="10"/>
      <c r="M33" s="5">
        <f t="shared" si="54"/>
        <v>29</v>
      </c>
      <c r="N33" s="8"/>
      <c r="O33" s="9"/>
      <c r="P33" s="10"/>
      <c r="Q33" s="5">
        <f t="shared" si="55"/>
        <v>29</v>
      </c>
      <c r="R33" s="8"/>
      <c r="S33" s="9"/>
      <c r="T33" s="10"/>
      <c r="U33" s="5">
        <f t="shared" si="56"/>
        <v>29</v>
      </c>
      <c r="V33" s="8"/>
      <c r="W33" s="9"/>
      <c r="X33" s="10"/>
      <c r="Y33" s="5">
        <f t="shared" si="57"/>
        <v>29</v>
      </c>
      <c r="Z33" s="8"/>
      <c r="AA33" s="9"/>
      <c r="AB33" s="10"/>
      <c r="AC33" s="5">
        <f t="shared" si="58"/>
        <v>29</v>
      </c>
      <c r="AD33" s="8"/>
      <c r="AE33" s="9"/>
      <c r="AF33" s="10"/>
      <c r="AG33" s="5">
        <f t="shared" si="59"/>
        <v>29</v>
      </c>
      <c r="AH33" s="8"/>
      <c r="AI33" s="9"/>
      <c r="AJ33" s="10"/>
      <c r="AK33" s="5">
        <f t="shared" si="60"/>
        <v>29</v>
      </c>
      <c r="AL33" s="8"/>
      <c r="AM33" s="9"/>
      <c r="AN33" s="10"/>
      <c r="AO33" s="5">
        <f t="shared" si="61"/>
        <v>29</v>
      </c>
      <c r="AP33" s="8"/>
      <c r="AQ33" s="9"/>
      <c r="AR33" s="10"/>
      <c r="AS33" s="5">
        <f t="shared" si="62"/>
        <v>29</v>
      </c>
      <c r="AT33" s="8"/>
      <c r="AU33" s="9"/>
      <c r="AV33" s="10"/>
      <c r="AW33" s="5">
        <f t="shared" si="63"/>
        <v>29</v>
      </c>
      <c r="AX33" s="8"/>
      <c r="AY33" s="9"/>
      <c r="AZ33" s="10"/>
      <c r="BA33" s="5">
        <f t="shared" si="64"/>
        <v>29</v>
      </c>
      <c r="BB33" s="8"/>
      <c r="BC33" s="9"/>
      <c r="BD33" s="10"/>
      <c r="BE33" s="5">
        <f t="shared" si="65"/>
        <v>29</v>
      </c>
      <c r="BF33" s="8"/>
      <c r="BG33" s="9"/>
      <c r="BH33" s="10"/>
      <c r="BI33" s="5">
        <f t="shared" si="66"/>
        <v>29</v>
      </c>
      <c r="BJ33" s="8"/>
      <c r="BK33" s="9"/>
      <c r="BL33" s="10"/>
      <c r="BM33" s="5">
        <f t="shared" si="67"/>
        <v>29</v>
      </c>
      <c r="BN33" s="8"/>
      <c r="BO33" s="9"/>
      <c r="BP33" s="10"/>
      <c r="BQ33" s="5">
        <f t="shared" si="68"/>
        <v>29</v>
      </c>
      <c r="BR33" s="8"/>
      <c r="BS33" s="9"/>
      <c r="BT33" s="10"/>
    </row>
    <row r="34" spans="1:72" x14ac:dyDescent="0.25">
      <c r="A34" s="5">
        <f t="shared" si="51"/>
        <v>30</v>
      </c>
      <c r="B34" s="8"/>
      <c r="C34" s="9"/>
      <c r="D34" s="10"/>
      <c r="E34" s="5">
        <f t="shared" si="52"/>
        <v>30</v>
      </c>
      <c r="F34" s="8"/>
      <c r="G34" s="9"/>
      <c r="H34" s="10"/>
      <c r="I34" s="5">
        <f t="shared" si="53"/>
        <v>30</v>
      </c>
      <c r="J34" s="8"/>
      <c r="K34" s="9"/>
      <c r="L34" s="10"/>
      <c r="M34" s="5">
        <f t="shared" si="54"/>
        <v>30</v>
      </c>
      <c r="N34" s="8"/>
      <c r="O34" s="9"/>
      <c r="P34" s="10"/>
      <c r="Q34" s="5">
        <f t="shared" si="55"/>
        <v>30</v>
      </c>
      <c r="R34" s="8"/>
      <c r="S34" s="9"/>
      <c r="T34" s="10"/>
      <c r="U34" s="5">
        <f t="shared" si="56"/>
        <v>30</v>
      </c>
      <c r="V34" s="8"/>
      <c r="W34" s="9"/>
      <c r="X34" s="10"/>
      <c r="Y34" s="5">
        <f t="shared" si="57"/>
        <v>30</v>
      </c>
      <c r="Z34" s="8"/>
      <c r="AA34" s="9"/>
      <c r="AB34" s="10"/>
      <c r="AC34" s="5">
        <f t="shared" si="58"/>
        <v>30</v>
      </c>
      <c r="AD34" s="8"/>
      <c r="AE34" s="9"/>
      <c r="AF34" s="10"/>
      <c r="AG34" s="5">
        <f t="shared" si="59"/>
        <v>30</v>
      </c>
      <c r="AH34" s="8"/>
      <c r="AI34" s="9"/>
      <c r="AJ34" s="10"/>
      <c r="AK34" s="5">
        <f t="shared" si="60"/>
        <v>30</v>
      </c>
      <c r="AL34" s="8"/>
      <c r="AM34" s="9"/>
      <c r="AN34" s="10"/>
      <c r="AO34" s="5">
        <f t="shared" si="61"/>
        <v>30</v>
      </c>
      <c r="AP34" s="8"/>
      <c r="AQ34" s="9"/>
      <c r="AR34" s="10"/>
      <c r="AS34" s="5">
        <f t="shared" si="62"/>
        <v>30</v>
      </c>
      <c r="AT34" s="8"/>
      <c r="AU34" s="9"/>
      <c r="AV34" s="10"/>
      <c r="AW34" s="5">
        <f t="shared" si="63"/>
        <v>30</v>
      </c>
      <c r="AX34" s="8"/>
      <c r="AY34" s="9"/>
      <c r="AZ34" s="10"/>
      <c r="BA34" s="5">
        <f t="shared" si="64"/>
        <v>30</v>
      </c>
      <c r="BB34" s="8"/>
      <c r="BC34" s="9"/>
      <c r="BD34" s="10"/>
      <c r="BE34" s="5">
        <f t="shared" si="65"/>
        <v>30</v>
      </c>
      <c r="BF34" s="8"/>
      <c r="BG34" s="9"/>
      <c r="BH34" s="10"/>
      <c r="BI34" s="5">
        <f t="shared" si="66"/>
        <v>30</v>
      </c>
      <c r="BJ34" s="8"/>
      <c r="BK34" s="9"/>
      <c r="BL34" s="10"/>
      <c r="BM34" s="5">
        <f t="shared" si="67"/>
        <v>30</v>
      </c>
      <c r="BN34" s="8"/>
      <c r="BO34" s="9"/>
      <c r="BP34" s="10"/>
      <c r="BQ34" s="5">
        <f t="shared" si="68"/>
        <v>30</v>
      </c>
      <c r="BR34" s="8"/>
      <c r="BS34" s="9"/>
      <c r="BT34" s="10"/>
    </row>
    <row r="35" spans="1:72" x14ac:dyDescent="0.25">
      <c r="A35" s="13"/>
      <c r="B35" s="14" t="s">
        <v>9</v>
      </c>
      <c r="C35" s="15">
        <f>SUM(C5:C34)</f>
        <v>17600</v>
      </c>
      <c r="D35" s="16">
        <f>SUM(D5:D34)</f>
        <v>20000</v>
      </c>
      <c r="E35" s="13"/>
      <c r="F35" s="14" t="s">
        <v>9</v>
      </c>
      <c r="G35" s="15">
        <f>SUM(G5:G34)</f>
        <v>17600</v>
      </c>
      <c r="H35" s="16">
        <f>SUM(H5:H34)</f>
        <v>20000</v>
      </c>
      <c r="I35" s="13"/>
      <c r="J35" s="14" t="s">
        <v>9</v>
      </c>
      <c r="K35" s="15">
        <f>SUM(K5:K34)</f>
        <v>17600</v>
      </c>
      <c r="L35" s="16">
        <f>SUM(L5:L34)</f>
        <v>20000</v>
      </c>
      <c r="M35" s="13"/>
      <c r="N35" s="14" t="s">
        <v>9</v>
      </c>
      <c r="O35" s="15">
        <f>SUM(O5:O34)</f>
        <v>17600</v>
      </c>
      <c r="P35" s="16">
        <f>SUM(P5:P34)</f>
        <v>20000</v>
      </c>
      <c r="Q35" s="13"/>
      <c r="R35" s="14" t="s">
        <v>9</v>
      </c>
      <c r="S35" s="15">
        <f>SUM(S5:S34)</f>
        <v>17600</v>
      </c>
      <c r="T35" s="16">
        <f>SUM(T5:T34)</f>
        <v>20000</v>
      </c>
      <c r="U35" s="13"/>
      <c r="V35" s="14" t="s">
        <v>9</v>
      </c>
      <c r="W35" s="15">
        <f>SUM(W5:W34)</f>
        <v>17600</v>
      </c>
      <c r="X35" s="16">
        <f>SUM(X5:X34)</f>
        <v>20000</v>
      </c>
      <c r="Y35" s="13"/>
      <c r="Z35" s="14" t="s">
        <v>9</v>
      </c>
      <c r="AA35" s="15">
        <f>SUM(AA5:AA34)</f>
        <v>17600</v>
      </c>
      <c r="AB35" s="16">
        <f>SUM(AB5:AB34)</f>
        <v>20000</v>
      </c>
      <c r="AC35" s="13"/>
      <c r="AD35" s="14" t="s">
        <v>9</v>
      </c>
      <c r="AE35" s="15">
        <f>SUM(AE5:AE34)</f>
        <v>17600</v>
      </c>
      <c r="AF35" s="16">
        <f>SUM(AF5:AF34)</f>
        <v>20000</v>
      </c>
      <c r="AG35" s="13"/>
      <c r="AH35" s="14" t="s">
        <v>9</v>
      </c>
      <c r="AI35" s="15">
        <f>SUM(AI5:AI34)</f>
        <v>17600</v>
      </c>
      <c r="AJ35" s="16">
        <f>SUM(AJ5:AJ34)</f>
        <v>20000</v>
      </c>
      <c r="AK35" s="13"/>
      <c r="AL35" s="14" t="s">
        <v>9</v>
      </c>
      <c r="AM35" s="15">
        <f>SUM(AM5:AM34)</f>
        <v>17600</v>
      </c>
      <c r="AN35" s="16">
        <f>SUM(AN5:AN34)</f>
        <v>20000</v>
      </c>
      <c r="AO35" s="13"/>
      <c r="AP35" s="14" t="s">
        <v>9</v>
      </c>
      <c r="AQ35" s="15">
        <f>SUM(AQ5:AQ34)</f>
        <v>17600</v>
      </c>
      <c r="AR35" s="16">
        <f>SUM(AR5:AR34)</f>
        <v>20000</v>
      </c>
      <c r="AS35" s="13"/>
      <c r="AT35" s="14" t="s">
        <v>9</v>
      </c>
      <c r="AU35" s="15">
        <f>SUM(AU5:AU34)</f>
        <v>17600</v>
      </c>
      <c r="AV35" s="16">
        <f>SUM(AV5:AV34)</f>
        <v>20000</v>
      </c>
      <c r="AW35" s="13"/>
      <c r="AX35" s="14" t="s">
        <v>9</v>
      </c>
      <c r="AY35" s="15">
        <f>SUM(AY5:AY34)</f>
        <v>17600</v>
      </c>
      <c r="AZ35" s="16">
        <f>SUM(AZ5:AZ34)</f>
        <v>20000</v>
      </c>
      <c r="BA35" s="13"/>
      <c r="BB35" s="14" t="s">
        <v>9</v>
      </c>
      <c r="BC35" s="15">
        <f>SUM(BC5:BC34)</f>
        <v>17600</v>
      </c>
      <c r="BD35" s="16">
        <f>SUM(BD5:BD34)</f>
        <v>20000</v>
      </c>
      <c r="BE35" s="13"/>
      <c r="BF35" s="14" t="s">
        <v>9</v>
      </c>
      <c r="BG35" s="15">
        <f>SUM(BG5:BG34)</f>
        <v>17600</v>
      </c>
      <c r="BH35" s="16">
        <f>SUM(BH5:BH34)</f>
        <v>20000</v>
      </c>
      <c r="BI35" s="13"/>
      <c r="BJ35" s="14" t="s">
        <v>9</v>
      </c>
      <c r="BK35" s="15">
        <f>SUM(BK5:BK34)</f>
        <v>17600</v>
      </c>
      <c r="BL35" s="16">
        <f>SUM(BL5:BL34)</f>
        <v>20000</v>
      </c>
      <c r="BM35" s="13"/>
      <c r="BN35" s="14" t="s">
        <v>9</v>
      </c>
      <c r="BO35" s="15">
        <f>SUM(BO5:BO34)</f>
        <v>17600</v>
      </c>
      <c r="BP35" s="16">
        <f>SUM(BP5:BP34)</f>
        <v>20000</v>
      </c>
      <c r="BQ35" s="13"/>
      <c r="BR35" s="14" t="s">
        <v>9</v>
      </c>
      <c r="BS35" s="15">
        <f>SUM(BS5:BS34)</f>
        <v>17600</v>
      </c>
      <c r="BT35" s="16">
        <f>SUM(BT5:BT34)</f>
        <v>20000</v>
      </c>
    </row>
    <row r="36" spans="1:72" x14ac:dyDescent="0.25">
      <c r="A36" s="5"/>
      <c r="B36" s="8"/>
      <c r="C36" s="8"/>
      <c r="D36" s="11"/>
      <c r="E36" s="5"/>
      <c r="F36" s="8"/>
      <c r="G36" s="8"/>
      <c r="H36" s="11"/>
      <c r="I36" s="5"/>
      <c r="J36" s="8"/>
      <c r="K36" s="8"/>
      <c r="L36" s="11"/>
      <c r="M36" s="5"/>
      <c r="N36" s="8"/>
      <c r="O36" s="8"/>
      <c r="P36" s="11"/>
      <c r="Q36" s="5"/>
      <c r="R36" s="8"/>
      <c r="S36" s="8"/>
      <c r="T36" s="11"/>
      <c r="U36" s="5"/>
      <c r="V36" s="8"/>
      <c r="W36" s="8"/>
      <c r="X36" s="11"/>
      <c r="Y36" s="5"/>
      <c r="Z36" s="8"/>
      <c r="AA36" s="8"/>
      <c r="AB36" s="11"/>
      <c r="AC36" s="5"/>
      <c r="AD36" s="8"/>
      <c r="AE36" s="8"/>
      <c r="AF36" s="11"/>
      <c r="AG36" s="5"/>
      <c r="AH36" s="8"/>
      <c r="AI36" s="8"/>
      <c r="AJ36" s="11"/>
      <c r="AK36" s="5"/>
      <c r="AL36" s="8"/>
      <c r="AM36" s="8"/>
      <c r="AN36" s="11"/>
      <c r="AO36" s="5"/>
      <c r="AP36" s="8"/>
      <c r="AQ36" s="8"/>
      <c r="AR36" s="11"/>
      <c r="AS36" s="5"/>
      <c r="AT36" s="8"/>
      <c r="AU36" s="8"/>
      <c r="AV36" s="11"/>
      <c r="AW36" s="5"/>
      <c r="AX36" s="8"/>
      <c r="AY36" s="8"/>
      <c r="AZ36" s="11"/>
      <c r="BA36" s="5"/>
      <c r="BB36" s="8"/>
      <c r="BC36" s="8"/>
      <c r="BD36" s="11"/>
      <c r="BE36" s="5"/>
      <c r="BF36" s="8"/>
      <c r="BG36" s="8"/>
      <c r="BH36" s="11"/>
      <c r="BI36" s="5"/>
      <c r="BJ36" s="8"/>
      <c r="BK36" s="8"/>
      <c r="BL36" s="11"/>
      <c r="BM36" s="5"/>
      <c r="BN36" s="8"/>
      <c r="BO36" s="8"/>
      <c r="BP36" s="11"/>
      <c r="BQ36" s="5"/>
      <c r="BR36" s="8"/>
      <c r="BS36" s="8"/>
      <c r="BT36" s="11"/>
    </row>
    <row r="37" spans="1:72" x14ac:dyDescent="0.25">
      <c r="A37" s="5"/>
      <c r="B37" s="8" t="s">
        <v>8</v>
      </c>
      <c r="C37" s="9">
        <v>0</v>
      </c>
      <c r="D37" s="10">
        <v>0</v>
      </c>
      <c r="E37" s="5"/>
      <c r="F37" s="8" t="s">
        <v>8</v>
      </c>
      <c r="G37" s="9">
        <v>0</v>
      </c>
      <c r="H37" s="10">
        <v>0</v>
      </c>
      <c r="I37" s="5"/>
      <c r="J37" s="8" t="s">
        <v>8</v>
      </c>
      <c r="K37" s="9">
        <v>0</v>
      </c>
      <c r="L37" s="10">
        <v>0</v>
      </c>
      <c r="M37" s="5"/>
      <c r="N37" s="8" t="s">
        <v>8</v>
      </c>
      <c r="O37" s="9">
        <v>0</v>
      </c>
      <c r="P37" s="10">
        <f>P8</f>
        <v>2000</v>
      </c>
      <c r="Q37" s="5"/>
      <c r="R37" s="8" t="s">
        <v>8</v>
      </c>
      <c r="S37" s="9">
        <v>0</v>
      </c>
      <c r="T37" s="10">
        <v>0</v>
      </c>
      <c r="U37" s="5"/>
      <c r="V37" s="8" t="s">
        <v>8</v>
      </c>
      <c r="W37" s="9">
        <v>0</v>
      </c>
      <c r="X37" s="10">
        <v>0</v>
      </c>
      <c r="Y37" s="5"/>
      <c r="Z37" s="8" t="s">
        <v>8</v>
      </c>
      <c r="AA37" s="9">
        <v>2565</v>
      </c>
      <c r="AB37" s="10">
        <v>7250</v>
      </c>
      <c r="AC37" s="5"/>
      <c r="AD37" s="8" t="s">
        <v>8</v>
      </c>
      <c r="AE37" s="9">
        <v>0</v>
      </c>
      <c r="AF37" s="10">
        <v>0</v>
      </c>
      <c r="AG37" s="5"/>
      <c r="AH37" s="8" t="s">
        <v>8</v>
      </c>
      <c r="AI37" s="9">
        <v>0</v>
      </c>
      <c r="AJ37" s="10">
        <v>0</v>
      </c>
      <c r="AK37" s="5"/>
      <c r="AL37" s="8" t="s">
        <v>8</v>
      </c>
      <c r="AM37" s="9">
        <v>0</v>
      </c>
      <c r="AN37" s="10">
        <v>0</v>
      </c>
      <c r="AO37" s="5"/>
      <c r="AP37" s="8" t="s">
        <v>8</v>
      </c>
      <c r="AQ37" s="9">
        <v>0</v>
      </c>
      <c r="AR37" s="10">
        <v>0</v>
      </c>
      <c r="AS37" s="5"/>
      <c r="AT37" s="8" t="s">
        <v>8</v>
      </c>
      <c r="AU37" s="9">
        <v>0</v>
      </c>
      <c r="AV37" s="10">
        <v>0</v>
      </c>
      <c r="AW37" s="5"/>
      <c r="AX37" s="8" t="s">
        <v>8</v>
      </c>
      <c r="AY37" s="9">
        <v>0</v>
      </c>
      <c r="AZ37" s="10">
        <v>0</v>
      </c>
      <c r="BA37" s="5"/>
      <c r="BB37" s="8" t="s">
        <v>8</v>
      </c>
      <c r="BC37" s="9">
        <v>0</v>
      </c>
      <c r="BD37" s="10">
        <v>0</v>
      </c>
      <c r="BE37" s="5"/>
      <c r="BF37" s="8" t="s">
        <v>8</v>
      </c>
      <c r="BG37" s="9">
        <v>0</v>
      </c>
      <c r="BH37" s="10">
        <v>0</v>
      </c>
      <c r="BI37" s="5"/>
      <c r="BJ37" s="8" t="s">
        <v>8</v>
      </c>
      <c r="BK37" s="9">
        <v>0</v>
      </c>
      <c r="BL37" s="10">
        <v>0</v>
      </c>
      <c r="BM37" s="5"/>
      <c r="BN37" s="8" t="s">
        <v>8</v>
      </c>
      <c r="BO37" s="9">
        <v>0</v>
      </c>
      <c r="BP37" s="10">
        <v>0</v>
      </c>
      <c r="BQ37" s="5"/>
      <c r="BR37" s="8" t="s">
        <v>8</v>
      </c>
      <c r="BS37" s="9">
        <v>0</v>
      </c>
      <c r="BT37" s="10">
        <v>0</v>
      </c>
    </row>
    <row r="38" spans="1:72" x14ac:dyDescent="0.25">
      <c r="A38" s="12" t="s">
        <v>26</v>
      </c>
      <c r="B38" s="8"/>
      <c r="C38" s="8"/>
      <c r="D38" s="11"/>
      <c r="E38" s="12" t="s">
        <v>26</v>
      </c>
      <c r="F38" s="8"/>
      <c r="G38" s="8"/>
      <c r="H38" s="11"/>
      <c r="I38" s="12" t="s">
        <v>26</v>
      </c>
      <c r="J38" s="8"/>
      <c r="K38" s="8"/>
      <c r="L38" s="11"/>
      <c r="M38" s="12" t="s">
        <v>26</v>
      </c>
      <c r="N38" s="8"/>
      <c r="O38" s="8"/>
      <c r="P38" s="11"/>
      <c r="Q38" s="12" t="s">
        <v>26</v>
      </c>
      <c r="R38" s="8"/>
      <c r="S38" s="8"/>
      <c r="T38" s="11"/>
      <c r="U38" s="12" t="s">
        <v>26</v>
      </c>
      <c r="V38" s="8"/>
      <c r="W38" s="8"/>
      <c r="X38" s="11"/>
      <c r="Y38" s="12" t="s">
        <v>26</v>
      </c>
      <c r="Z38" s="8"/>
      <c r="AA38" s="8"/>
      <c r="AB38" s="11"/>
      <c r="AC38" s="12" t="s">
        <v>26</v>
      </c>
      <c r="AD38" s="8"/>
      <c r="AE38" s="8"/>
      <c r="AF38" s="11"/>
      <c r="AG38" s="12" t="s">
        <v>26</v>
      </c>
      <c r="AH38" s="8"/>
      <c r="AI38" s="8"/>
      <c r="AJ38" s="11"/>
      <c r="AK38" s="12" t="s">
        <v>26</v>
      </c>
      <c r="AL38" s="8"/>
      <c r="AM38" s="8"/>
      <c r="AN38" s="11"/>
      <c r="AO38" s="12" t="s">
        <v>26</v>
      </c>
      <c r="AP38" s="8"/>
      <c r="AQ38" s="8"/>
      <c r="AR38" s="11"/>
      <c r="AS38" s="12" t="s">
        <v>26</v>
      </c>
      <c r="AT38" s="8"/>
      <c r="AU38" s="8"/>
      <c r="AV38" s="11"/>
      <c r="AW38" s="12" t="s">
        <v>26</v>
      </c>
      <c r="AX38" s="8"/>
      <c r="AY38" s="8"/>
      <c r="AZ38" s="11"/>
      <c r="BA38" s="12" t="s">
        <v>26</v>
      </c>
      <c r="BB38" s="8"/>
      <c r="BC38" s="8"/>
      <c r="BD38" s="11"/>
      <c r="BE38" s="12" t="s">
        <v>26</v>
      </c>
      <c r="BF38" s="8"/>
      <c r="BG38" s="8"/>
      <c r="BH38" s="11"/>
      <c r="BI38" s="12" t="s">
        <v>26</v>
      </c>
      <c r="BJ38" s="8"/>
      <c r="BK38" s="8"/>
      <c r="BL38" s="11"/>
      <c r="BM38" s="12" t="s">
        <v>26</v>
      </c>
      <c r="BN38" s="8"/>
      <c r="BO38" s="8"/>
      <c r="BP38" s="11"/>
      <c r="BQ38" s="12" t="s">
        <v>26</v>
      </c>
      <c r="BR38" s="8"/>
      <c r="BS38" s="8"/>
      <c r="BT38" s="11"/>
    </row>
    <row r="39" spans="1:72" x14ac:dyDescent="0.25">
      <c r="A39" s="24">
        <v>5</v>
      </c>
      <c r="B39" s="8" t="s">
        <v>61</v>
      </c>
      <c r="C39" s="9">
        <f>A39*IFERROR(VLOOKUP(B39,$B$87:$D$90,2,FALSE),0)</f>
        <v>8500</v>
      </c>
      <c r="D39" s="10">
        <f>A39*IFERROR(VLOOKUP(B39,$B$87:$D$90,3,FALSE),0)</f>
        <v>8500</v>
      </c>
      <c r="E39" s="24">
        <f>A39</f>
        <v>5</v>
      </c>
      <c r="F39" s="8" t="s">
        <v>61</v>
      </c>
      <c r="G39" s="9">
        <f>E39*IFERROR(VLOOKUP(F39,$B$87:$D$90,2,FALSE),0)</f>
        <v>8500</v>
      </c>
      <c r="H39" s="10">
        <f>E39*IFERROR(VLOOKUP(F39,$B$87:$D$90,3,FALSE),0)</f>
        <v>8500</v>
      </c>
      <c r="I39" s="24">
        <f>E39</f>
        <v>5</v>
      </c>
      <c r="J39" s="8" t="s">
        <v>61</v>
      </c>
      <c r="K39" s="9">
        <f>I39*IFERROR(VLOOKUP(J39,$B$87:$D$90,2,FALSE),0)</f>
        <v>8500</v>
      </c>
      <c r="L39" s="10">
        <f>I39*IFERROR(VLOOKUP(J39,$B$87:$D$90,3,FALSE),0)</f>
        <v>8500</v>
      </c>
      <c r="M39" s="24">
        <f>I39</f>
        <v>5</v>
      </c>
      <c r="N39" s="8" t="s">
        <v>61</v>
      </c>
      <c r="O39" s="9">
        <f>M39*IFERROR(VLOOKUP(N39,$B$87:$D$90,2,FALSE),0)</f>
        <v>8500</v>
      </c>
      <c r="P39" s="10">
        <f>M39*IFERROR(VLOOKUP(N39,$B$87:$D$90,3,FALSE),0)</f>
        <v>8500</v>
      </c>
      <c r="Q39" s="24">
        <f>M39</f>
        <v>5</v>
      </c>
      <c r="R39" s="8" t="s">
        <v>61</v>
      </c>
      <c r="S39" s="9">
        <f>Q39*IFERROR(VLOOKUP(R39,$B$87:$D$90,2,FALSE),0)</f>
        <v>8500</v>
      </c>
      <c r="T39" s="10">
        <f>Q39*IFERROR(VLOOKUP(R39,$B$87:$D$90,3,FALSE),0)</f>
        <v>8500</v>
      </c>
      <c r="U39" s="24">
        <f>Q39</f>
        <v>5</v>
      </c>
      <c r="V39" s="8" t="s">
        <v>61</v>
      </c>
      <c r="W39" s="9">
        <f>U39*IFERROR(VLOOKUP(V39,$B$87:$D$90,2,FALSE),0)</f>
        <v>8500</v>
      </c>
      <c r="X39" s="10">
        <f>U39*IFERROR(VLOOKUP(V39,$B$87:$D$90,3,FALSE),0)</f>
        <v>8500</v>
      </c>
      <c r="Y39" s="24">
        <f>U39</f>
        <v>5</v>
      </c>
      <c r="Z39" s="8" t="s">
        <v>61</v>
      </c>
      <c r="AA39" s="9">
        <f>Y39*IFERROR(VLOOKUP(Z39,$B$87:$D$90,2,FALSE),0)</f>
        <v>8500</v>
      </c>
      <c r="AB39" s="10">
        <f>Y39*IFERROR(VLOOKUP(Z39,$B$87:$D$90,3,FALSE),0)</f>
        <v>8500</v>
      </c>
      <c r="AC39" s="24">
        <f>Y39</f>
        <v>5</v>
      </c>
      <c r="AD39" s="8" t="s">
        <v>61</v>
      </c>
      <c r="AE39" s="9">
        <f>AC39*IFERROR(VLOOKUP(AD39,$B$87:$D$90,2,FALSE),0)</f>
        <v>8500</v>
      </c>
      <c r="AF39" s="10">
        <f>AC39*IFERROR(VLOOKUP(AD39,$B$87:$D$90,3,FALSE),0)</f>
        <v>8500</v>
      </c>
      <c r="AG39" s="24">
        <f>AC39</f>
        <v>5</v>
      </c>
      <c r="AH39" s="8" t="s">
        <v>61</v>
      </c>
      <c r="AI39" s="9">
        <f>AG39*IFERROR(VLOOKUP(AH39,$B$87:$D$90,2,FALSE),0)</f>
        <v>8500</v>
      </c>
      <c r="AJ39" s="10">
        <f>AG39*IFERROR(VLOOKUP(AH39,$B$87:$D$90,3,FALSE),0)</f>
        <v>8500</v>
      </c>
      <c r="AK39" s="24">
        <f>AG39</f>
        <v>5</v>
      </c>
      <c r="AL39" s="8" t="s">
        <v>61</v>
      </c>
      <c r="AM39" s="9">
        <f>AK39*IFERROR(VLOOKUP(AL39,$B$87:$D$90,2,FALSE),0)</f>
        <v>8500</v>
      </c>
      <c r="AN39" s="10">
        <f>AK39*IFERROR(VLOOKUP(AL39,$B$87:$D$90,3,FALSE),0)</f>
        <v>8500</v>
      </c>
      <c r="AO39" s="24">
        <f>AK39</f>
        <v>5</v>
      </c>
      <c r="AP39" s="8" t="s">
        <v>61</v>
      </c>
      <c r="AQ39" s="9">
        <f>AO39*IFERROR(VLOOKUP(AP39,$B$87:$D$90,2,FALSE),0)</f>
        <v>8500</v>
      </c>
      <c r="AR39" s="10">
        <f>AO39*IFERROR(VLOOKUP(AP39,$B$87:$D$90,3,FALSE),0)</f>
        <v>8500</v>
      </c>
      <c r="AS39" s="24">
        <f>AO39</f>
        <v>5</v>
      </c>
      <c r="AT39" s="8" t="s">
        <v>61</v>
      </c>
      <c r="AU39" s="9">
        <f>AS39*IFERROR(VLOOKUP(AT39,$B$87:$D$90,2,FALSE),0)</f>
        <v>8500</v>
      </c>
      <c r="AV39" s="10">
        <f>AS39*IFERROR(VLOOKUP(AT39,$B$87:$D$90,3,FALSE),0)</f>
        <v>8500</v>
      </c>
      <c r="AW39" s="24">
        <f>AS39</f>
        <v>5</v>
      </c>
      <c r="AX39" s="8" t="s">
        <v>61</v>
      </c>
      <c r="AY39" s="9">
        <f>AW39*IFERROR(VLOOKUP(AX39,$B$87:$D$90,2,FALSE),0)</f>
        <v>8500</v>
      </c>
      <c r="AZ39" s="10">
        <f>AW39*IFERROR(VLOOKUP(AX39,$B$87:$D$90,3,FALSE),0)</f>
        <v>8500</v>
      </c>
      <c r="BA39" s="24">
        <f>AW39</f>
        <v>5</v>
      </c>
      <c r="BB39" s="8" t="s">
        <v>61</v>
      </c>
      <c r="BC39" s="9">
        <f>BA39*IFERROR(VLOOKUP(BB39,$B$87:$D$90,2,FALSE),0)</f>
        <v>8500</v>
      </c>
      <c r="BD39" s="10">
        <f>BA39*IFERROR(VLOOKUP(BB39,$B$87:$D$90,3,FALSE),0)</f>
        <v>8500</v>
      </c>
      <c r="BE39" s="24">
        <f>BA39</f>
        <v>5</v>
      </c>
      <c r="BF39" s="8" t="s">
        <v>61</v>
      </c>
      <c r="BG39" s="9">
        <f>BE39*IFERROR(VLOOKUP(BF39,$B$87:$D$90,2,FALSE),0)</f>
        <v>8500</v>
      </c>
      <c r="BH39" s="10">
        <f>BE39*IFERROR(VLOOKUP(BF39,$B$87:$D$90,3,FALSE),0)</f>
        <v>8500</v>
      </c>
      <c r="BI39" s="24">
        <f>BE39</f>
        <v>5</v>
      </c>
      <c r="BJ39" s="8" t="s">
        <v>61</v>
      </c>
      <c r="BK39" s="9">
        <f>BI39*IFERROR(VLOOKUP(BJ39,$B$87:$D$90,2,FALSE),0)</f>
        <v>8500</v>
      </c>
      <c r="BL39" s="10">
        <f>BI39*IFERROR(VLOOKUP(BJ39,$B$87:$D$90,3,FALSE),0)</f>
        <v>8500</v>
      </c>
      <c r="BM39" s="24">
        <f>BI39</f>
        <v>5</v>
      </c>
      <c r="BN39" s="8" t="s">
        <v>61</v>
      </c>
      <c r="BO39" s="9">
        <f>BM39*IFERROR(VLOOKUP(BN39,$B$87:$D$90,2,FALSE),0)</f>
        <v>8500</v>
      </c>
      <c r="BP39" s="10">
        <f>BM39*IFERROR(VLOOKUP(BN39,$B$87:$D$90,3,FALSE),0)</f>
        <v>8500</v>
      </c>
      <c r="BQ39" s="24">
        <f>BM39</f>
        <v>5</v>
      </c>
      <c r="BR39" s="8" t="s">
        <v>61</v>
      </c>
      <c r="BS39" s="9">
        <f>BQ39*IFERROR(VLOOKUP(BR39,$B$87:$D$90,2,FALSE),0)</f>
        <v>8500</v>
      </c>
      <c r="BT39" s="10">
        <f>BQ39*IFERROR(VLOOKUP(BR39,$B$87:$D$90,3,FALSE),0)</f>
        <v>8500</v>
      </c>
    </row>
    <row r="40" spans="1:72" x14ac:dyDescent="0.25">
      <c r="A40" s="24">
        <v>0</v>
      </c>
      <c r="B40" s="8"/>
      <c r="C40" s="9">
        <f t="shared" ref="C40:C41" si="73">A40*IFERROR(VLOOKUP(B40,$B$87:$D$90,2,FALSE),0)</f>
        <v>0</v>
      </c>
      <c r="D40" s="10">
        <f t="shared" ref="D40:D41" si="74">A40*IFERROR(VLOOKUP(B40,$B$87:$D$90,3,FALSE),0)</f>
        <v>0</v>
      </c>
      <c r="E40" s="24">
        <f>A40</f>
        <v>0</v>
      </c>
      <c r="F40" s="8"/>
      <c r="G40" s="9">
        <f t="shared" ref="G40:G41" si="75">E40*IFERROR(VLOOKUP(F40,$B$87:$D$90,2,FALSE),0)</f>
        <v>0</v>
      </c>
      <c r="H40" s="10">
        <f t="shared" ref="H40:H41" si="76">E40*IFERROR(VLOOKUP(F40,$B$87:$D$90,3,FALSE),0)</f>
        <v>0</v>
      </c>
      <c r="I40" s="24">
        <f>E40</f>
        <v>0</v>
      </c>
      <c r="J40" s="8"/>
      <c r="K40" s="9">
        <f t="shared" ref="K40:K41" si="77">I40*IFERROR(VLOOKUP(J40,$B$87:$D$90,2,FALSE),0)</f>
        <v>0</v>
      </c>
      <c r="L40" s="10">
        <f t="shared" ref="L40:L41" si="78">I40*IFERROR(VLOOKUP(J40,$B$87:$D$90,3,FALSE),0)</f>
        <v>0</v>
      </c>
      <c r="M40" s="24">
        <f>I40</f>
        <v>0</v>
      </c>
      <c r="N40" s="8"/>
      <c r="O40" s="9">
        <f t="shared" ref="O40:O41" si="79">M40*IFERROR(VLOOKUP(N40,$B$87:$D$90,2,FALSE),0)</f>
        <v>0</v>
      </c>
      <c r="P40" s="10">
        <f t="shared" ref="P40:P41" si="80">M40*IFERROR(VLOOKUP(N40,$B$87:$D$90,3,FALSE),0)</f>
        <v>0</v>
      </c>
      <c r="Q40" s="24">
        <f>M40</f>
        <v>0</v>
      </c>
      <c r="R40" s="8"/>
      <c r="S40" s="9">
        <f t="shared" ref="S40:S41" si="81">Q40*IFERROR(VLOOKUP(R40,$B$87:$D$90,2,FALSE),0)</f>
        <v>0</v>
      </c>
      <c r="T40" s="10">
        <f t="shared" ref="T40:T41" si="82">Q40*IFERROR(VLOOKUP(R40,$B$87:$D$90,3,FALSE),0)</f>
        <v>0</v>
      </c>
      <c r="U40" s="24">
        <f>Q40</f>
        <v>0</v>
      </c>
      <c r="V40" s="8"/>
      <c r="W40" s="9">
        <f t="shared" ref="W40:W41" si="83">U40*IFERROR(VLOOKUP(V40,$B$87:$D$90,2,FALSE),0)</f>
        <v>0</v>
      </c>
      <c r="X40" s="10">
        <f t="shared" ref="X40:X41" si="84">U40*IFERROR(VLOOKUP(V40,$B$87:$D$90,3,FALSE),0)</f>
        <v>0</v>
      </c>
      <c r="Y40" s="24">
        <f>U40</f>
        <v>0</v>
      </c>
      <c r="Z40" s="8"/>
      <c r="AA40" s="9">
        <f t="shared" ref="AA40:AA41" si="85">Y40*IFERROR(VLOOKUP(Z40,$B$87:$D$90,2,FALSE),0)</f>
        <v>0</v>
      </c>
      <c r="AB40" s="10">
        <f t="shared" ref="AB40:AB41" si="86">Y40*IFERROR(VLOOKUP(Z40,$B$87:$D$90,3,FALSE),0)</f>
        <v>0</v>
      </c>
      <c r="AC40" s="24">
        <f>Y40</f>
        <v>0</v>
      </c>
      <c r="AD40" s="8"/>
      <c r="AE40" s="9">
        <f t="shared" ref="AE40:AE41" si="87">AC40*IFERROR(VLOOKUP(AD40,$B$87:$D$90,2,FALSE),0)</f>
        <v>0</v>
      </c>
      <c r="AF40" s="10">
        <f t="shared" ref="AF40:AF41" si="88">AC40*IFERROR(VLOOKUP(AD40,$B$87:$D$90,3,FALSE),0)</f>
        <v>0</v>
      </c>
      <c r="AG40" s="24">
        <f>AC40</f>
        <v>0</v>
      </c>
      <c r="AH40" s="8"/>
      <c r="AI40" s="9">
        <f t="shared" ref="AI40:AI41" si="89">AG40*IFERROR(VLOOKUP(AH40,$B$87:$D$90,2,FALSE),0)</f>
        <v>0</v>
      </c>
      <c r="AJ40" s="10">
        <f t="shared" ref="AJ40:AJ41" si="90">AG40*IFERROR(VLOOKUP(AH40,$B$87:$D$90,3,FALSE),0)</f>
        <v>0</v>
      </c>
      <c r="AK40" s="24">
        <f>AG40</f>
        <v>0</v>
      </c>
      <c r="AL40" s="8"/>
      <c r="AM40" s="9">
        <f t="shared" ref="AM40:AM41" si="91">AK40*IFERROR(VLOOKUP(AL40,$B$87:$D$90,2,FALSE),0)</f>
        <v>0</v>
      </c>
      <c r="AN40" s="10">
        <f t="shared" ref="AN40:AN41" si="92">AK40*IFERROR(VLOOKUP(AL40,$B$87:$D$90,3,FALSE),0)</f>
        <v>0</v>
      </c>
      <c r="AO40" s="24">
        <f>AK40</f>
        <v>0</v>
      </c>
      <c r="AP40" s="8"/>
      <c r="AQ40" s="9">
        <f t="shared" ref="AQ40:AQ41" si="93">AO40*IFERROR(VLOOKUP(AP40,$B$87:$D$90,2,FALSE),0)</f>
        <v>0</v>
      </c>
      <c r="AR40" s="10">
        <f t="shared" ref="AR40:AR41" si="94">AO40*IFERROR(VLOOKUP(AP40,$B$87:$D$90,3,FALSE),0)</f>
        <v>0</v>
      </c>
      <c r="AS40" s="24">
        <f>AO40</f>
        <v>0</v>
      </c>
      <c r="AT40" s="8"/>
      <c r="AU40" s="9">
        <f t="shared" ref="AU40:AU41" si="95">AS40*IFERROR(VLOOKUP(AT40,$B$87:$D$90,2,FALSE),0)</f>
        <v>0</v>
      </c>
      <c r="AV40" s="10">
        <f t="shared" ref="AV40:AV41" si="96">AS40*IFERROR(VLOOKUP(AT40,$B$87:$D$90,3,FALSE),0)</f>
        <v>0</v>
      </c>
      <c r="AW40" s="24">
        <f>AS40</f>
        <v>0</v>
      </c>
      <c r="AX40" s="8"/>
      <c r="AY40" s="9">
        <f t="shared" ref="AY40:AY41" si="97">AW40*IFERROR(VLOOKUP(AX40,$B$87:$D$90,2,FALSE),0)</f>
        <v>0</v>
      </c>
      <c r="AZ40" s="10">
        <f t="shared" ref="AZ40:AZ41" si="98">AW40*IFERROR(VLOOKUP(AX40,$B$87:$D$90,3,FALSE),0)</f>
        <v>0</v>
      </c>
      <c r="BA40" s="24">
        <f>AW40</f>
        <v>0</v>
      </c>
      <c r="BB40" s="8"/>
      <c r="BC40" s="9">
        <f t="shared" ref="BC40:BC41" si="99">BA40*IFERROR(VLOOKUP(BB40,$B$87:$D$90,2,FALSE),0)</f>
        <v>0</v>
      </c>
      <c r="BD40" s="10">
        <f t="shared" ref="BD40:BD41" si="100">BA40*IFERROR(VLOOKUP(BB40,$B$87:$D$90,3,FALSE),0)</f>
        <v>0</v>
      </c>
      <c r="BE40" s="24">
        <f>BA40</f>
        <v>0</v>
      </c>
      <c r="BF40" s="8"/>
      <c r="BG40" s="9">
        <f t="shared" ref="BG40:BG41" si="101">BE40*IFERROR(VLOOKUP(BF40,$B$87:$D$90,2,FALSE),0)</f>
        <v>0</v>
      </c>
      <c r="BH40" s="10">
        <f t="shared" ref="BH40:BH41" si="102">BE40*IFERROR(VLOOKUP(BF40,$B$87:$D$90,3,FALSE),0)</f>
        <v>0</v>
      </c>
      <c r="BI40" s="24">
        <f>BE40</f>
        <v>0</v>
      </c>
      <c r="BJ40" s="8"/>
      <c r="BK40" s="9">
        <f t="shared" ref="BK40:BK41" si="103">BI40*IFERROR(VLOOKUP(BJ40,$B$87:$D$90,2,FALSE),0)</f>
        <v>0</v>
      </c>
      <c r="BL40" s="10">
        <f t="shared" ref="BL40:BL41" si="104">BI40*IFERROR(VLOOKUP(BJ40,$B$87:$D$90,3,FALSE),0)</f>
        <v>0</v>
      </c>
      <c r="BM40" s="24">
        <f>BI40</f>
        <v>0</v>
      </c>
      <c r="BN40" s="8"/>
      <c r="BO40" s="9">
        <f t="shared" ref="BO40:BO41" si="105">BM40*IFERROR(VLOOKUP(BN40,$B$87:$D$90,2,FALSE),0)</f>
        <v>0</v>
      </c>
      <c r="BP40" s="10">
        <f t="shared" ref="BP40:BP41" si="106">BM40*IFERROR(VLOOKUP(BN40,$B$87:$D$90,3,FALSE),0)</f>
        <v>0</v>
      </c>
      <c r="BQ40" s="24">
        <f>BM40</f>
        <v>0</v>
      </c>
      <c r="BR40" s="8"/>
      <c r="BS40" s="9">
        <f t="shared" ref="BS40:BS41" si="107">BQ40*IFERROR(VLOOKUP(BR40,$B$87:$D$90,2,FALSE),0)</f>
        <v>0</v>
      </c>
      <c r="BT40" s="10">
        <f t="shared" ref="BT40:BT41" si="108">BQ40*IFERROR(VLOOKUP(BR40,$B$87:$D$90,3,FALSE),0)</f>
        <v>0</v>
      </c>
    </row>
    <row r="41" spans="1:72" x14ac:dyDescent="0.25">
      <c r="A41" s="24">
        <v>0</v>
      </c>
      <c r="B41" s="8"/>
      <c r="C41" s="9">
        <f t="shared" si="73"/>
        <v>0</v>
      </c>
      <c r="D41" s="10">
        <f t="shared" si="74"/>
        <v>0</v>
      </c>
      <c r="E41" s="24">
        <f>A41</f>
        <v>0</v>
      </c>
      <c r="F41" s="8"/>
      <c r="G41" s="9">
        <f t="shared" si="75"/>
        <v>0</v>
      </c>
      <c r="H41" s="10">
        <f t="shared" si="76"/>
        <v>0</v>
      </c>
      <c r="I41" s="24">
        <f>E41</f>
        <v>0</v>
      </c>
      <c r="J41" s="8"/>
      <c r="K41" s="9">
        <f t="shared" si="77"/>
        <v>0</v>
      </c>
      <c r="L41" s="10">
        <f t="shared" si="78"/>
        <v>0</v>
      </c>
      <c r="M41" s="24">
        <f>I41</f>
        <v>0</v>
      </c>
      <c r="N41" s="8"/>
      <c r="O41" s="9">
        <f t="shared" si="79"/>
        <v>0</v>
      </c>
      <c r="P41" s="10">
        <f t="shared" si="80"/>
        <v>0</v>
      </c>
      <c r="Q41" s="24">
        <f>M41</f>
        <v>0</v>
      </c>
      <c r="R41" s="8"/>
      <c r="S41" s="9">
        <f t="shared" si="81"/>
        <v>0</v>
      </c>
      <c r="T41" s="10">
        <f t="shared" si="82"/>
        <v>0</v>
      </c>
      <c r="U41" s="24">
        <f>Q41</f>
        <v>0</v>
      </c>
      <c r="V41" s="8"/>
      <c r="W41" s="9">
        <f t="shared" si="83"/>
        <v>0</v>
      </c>
      <c r="X41" s="10">
        <f t="shared" si="84"/>
        <v>0</v>
      </c>
      <c r="Y41" s="24">
        <f>U41</f>
        <v>0</v>
      </c>
      <c r="Z41" s="8"/>
      <c r="AA41" s="9">
        <f t="shared" si="85"/>
        <v>0</v>
      </c>
      <c r="AB41" s="10">
        <f t="shared" si="86"/>
        <v>0</v>
      </c>
      <c r="AC41" s="24">
        <f>Y41</f>
        <v>0</v>
      </c>
      <c r="AD41" s="8"/>
      <c r="AE41" s="9">
        <f t="shared" si="87"/>
        <v>0</v>
      </c>
      <c r="AF41" s="10">
        <f t="shared" si="88"/>
        <v>0</v>
      </c>
      <c r="AG41" s="24">
        <f>AC41</f>
        <v>0</v>
      </c>
      <c r="AH41" s="8"/>
      <c r="AI41" s="9">
        <f t="shared" si="89"/>
        <v>0</v>
      </c>
      <c r="AJ41" s="10">
        <f t="shared" si="90"/>
        <v>0</v>
      </c>
      <c r="AK41" s="24">
        <f>AG41</f>
        <v>0</v>
      </c>
      <c r="AL41" s="8"/>
      <c r="AM41" s="9">
        <f t="shared" si="91"/>
        <v>0</v>
      </c>
      <c r="AN41" s="10">
        <f t="shared" si="92"/>
        <v>0</v>
      </c>
      <c r="AO41" s="24">
        <f>AK41</f>
        <v>0</v>
      </c>
      <c r="AP41" s="8"/>
      <c r="AQ41" s="9">
        <f t="shared" si="93"/>
        <v>0</v>
      </c>
      <c r="AR41" s="10">
        <f t="shared" si="94"/>
        <v>0</v>
      </c>
      <c r="AS41" s="24">
        <f>AO41</f>
        <v>0</v>
      </c>
      <c r="AT41" s="8"/>
      <c r="AU41" s="9">
        <f t="shared" si="95"/>
        <v>0</v>
      </c>
      <c r="AV41" s="10">
        <f t="shared" si="96"/>
        <v>0</v>
      </c>
      <c r="AW41" s="24">
        <f>AS41</f>
        <v>0</v>
      </c>
      <c r="AX41" s="8"/>
      <c r="AY41" s="9">
        <f t="shared" si="97"/>
        <v>0</v>
      </c>
      <c r="AZ41" s="10">
        <f t="shared" si="98"/>
        <v>0</v>
      </c>
      <c r="BA41" s="24">
        <f>AW41</f>
        <v>0</v>
      </c>
      <c r="BB41" s="8"/>
      <c r="BC41" s="9">
        <f t="shared" si="99"/>
        <v>0</v>
      </c>
      <c r="BD41" s="10">
        <f t="shared" si="100"/>
        <v>0</v>
      </c>
      <c r="BE41" s="24">
        <f>BA41</f>
        <v>0</v>
      </c>
      <c r="BF41" s="8"/>
      <c r="BG41" s="9">
        <f t="shared" si="101"/>
        <v>0</v>
      </c>
      <c r="BH41" s="10">
        <f t="shared" si="102"/>
        <v>0</v>
      </c>
      <c r="BI41" s="24">
        <f>BE41</f>
        <v>0</v>
      </c>
      <c r="BJ41" s="8"/>
      <c r="BK41" s="9">
        <f t="shared" si="103"/>
        <v>0</v>
      </c>
      <c r="BL41" s="10">
        <f t="shared" si="104"/>
        <v>0</v>
      </c>
      <c r="BM41" s="24">
        <f>BI41</f>
        <v>0</v>
      </c>
      <c r="BN41" s="8"/>
      <c r="BO41" s="9">
        <f t="shared" si="105"/>
        <v>0</v>
      </c>
      <c r="BP41" s="10">
        <f t="shared" si="106"/>
        <v>0</v>
      </c>
      <c r="BQ41" s="24">
        <f>BM41</f>
        <v>0</v>
      </c>
      <c r="BR41" s="8"/>
      <c r="BS41" s="9">
        <f t="shared" si="107"/>
        <v>0</v>
      </c>
      <c r="BT41" s="10">
        <f t="shared" si="108"/>
        <v>0</v>
      </c>
    </row>
    <row r="42" spans="1:72" x14ac:dyDescent="0.25">
      <c r="A42" s="5"/>
      <c r="B42" s="25" t="s">
        <v>7</v>
      </c>
      <c r="C42" s="15">
        <f>SUM(C39:C41)</f>
        <v>8500</v>
      </c>
      <c r="D42" s="16">
        <f>SUM(D39:D41)</f>
        <v>8500</v>
      </c>
      <c r="E42" s="5"/>
      <c r="F42" s="25" t="s">
        <v>7</v>
      </c>
      <c r="G42" s="15">
        <f>SUM(G39:G41)</f>
        <v>8500</v>
      </c>
      <c r="H42" s="16">
        <f>SUM(H39:H41)</f>
        <v>8500</v>
      </c>
      <c r="I42" s="5"/>
      <c r="J42" s="25" t="s">
        <v>7</v>
      </c>
      <c r="K42" s="15">
        <f>SUM(K39:K41)</f>
        <v>8500</v>
      </c>
      <c r="L42" s="16">
        <f>SUM(L39:L41)</f>
        <v>8500</v>
      </c>
      <c r="M42" s="5"/>
      <c r="N42" s="25" t="s">
        <v>7</v>
      </c>
      <c r="O42" s="15">
        <f>SUM(O39:O41)</f>
        <v>8500</v>
      </c>
      <c r="P42" s="16">
        <f>SUM(P39:P41)</f>
        <v>8500</v>
      </c>
      <c r="Q42" s="5"/>
      <c r="R42" s="25" t="s">
        <v>7</v>
      </c>
      <c r="S42" s="15">
        <f>SUM(S39:S41)</f>
        <v>8500</v>
      </c>
      <c r="T42" s="16">
        <f>SUM(T39:T41)</f>
        <v>8500</v>
      </c>
      <c r="U42" s="5"/>
      <c r="V42" s="25" t="s">
        <v>7</v>
      </c>
      <c r="W42" s="15">
        <f>SUM(W39:W41)</f>
        <v>8500</v>
      </c>
      <c r="X42" s="16">
        <f>SUM(X39:X41)</f>
        <v>8500</v>
      </c>
      <c r="Y42" s="5"/>
      <c r="Z42" s="25" t="s">
        <v>7</v>
      </c>
      <c r="AA42" s="15">
        <f>SUM(AA39:AA41)</f>
        <v>8500</v>
      </c>
      <c r="AB42" s="16">
        <f>SUM(AB39:AB41)</f>
        <v>8500</v>
      </c>
      <c r="AC42" s="5"/>
      <c r="AD42" s="25" t="s">
        <v>7</v>
      </c>
      <c r="AE42" s="15">
        <f>SUM(AE39:AE41)</f>
        <v>8500</v>
      </c>
      <c r="AF42" s="16">
        <f>SUM(AF39:AF41)</f>
        <v>8500</v>
      </c>
      <c r="AG42" s="5"/>
      <c r="AH42" s="25" t="s">
        <v>7</v>
      </c>
      <c r="AI42" s="15">
        <f>SUM(AI39:AI41)</f>
        <v>8500</v>
      </c>
      <c r="AJ42" s="16">
        <f>SUM(AJ39:AJ41)</f>
        <v>8500</v>
      </c>
      <c r="AK42" s="5"/>
      <c r="AL42" s="25" t="s">
        <v>7</v>
      </c>
      <c r="AM42" s="15">
        <f>SUM(AM39:AM41)</f>
        <v>8500</v>
      </c>
      <c r="AN42" s="16">
        <f>SUM(AN39:AN41)</f>
        <v>8500</v>
      </c>
      <c r="AO42" s="5"/>
      <c r="AP42" s="25" t="s">
        <v>7</v>
      </c>
      <c r="AQ42" s="15">
        <f>SUM(AQ39:AQ41)</f>
        <v>8500</v>
      </c>
      <c r="AR42" s="16">
        <f>SUM(AR39:AR41)</f>
        <v>8500</v>
      </c>
      <c r="AS42" s="5"/>
      <c r="AT42" s="25" t="s">
        <v>7</v>
      </c>
      <c r="AU42" s="15">
        <f>SUM(AU39:AU41)</f>
        <v>8500</v>
      </c>
      <c r="AV42" s="16">
        <f>SUM(AV39:AV41)</f>
        <v>8500</v>
      </c>
      <c r="AW42" s="5"/>
      <c r="AX42" s="25" t="s">
        <v>7</v>
      </c>
      <c r="AY42" s="15">
        <f>SUM(AY39:AY41)</f>
        <v>8500</v>
      </c>
      <c r="AZ42" s="16">
        <f>SUM(AZ39:AZ41)</f>
        <v>8500</v>
      </c>
      <c r="BA42" s="5"/>
      <c r="BB42" s="25" t="s">
        <v>7</v>
      </c>
      <c r="BC42" s="15">
        <f>SUM(BC39:BC41)</f>
        <v>8500</v>
      </c>
      <c r="BD42" s="16">
        <f>SUM(BD39:BD41)</f>
        <v>8500</v>
      </c>
      <c r="BE42" s="5"/>
      <c r="BF42" s="25" t="s">
        <v>7</v>
      </c>
      <c r="BG42" s="15">
        <f>SUM(BG39:BG41)</f>
        <v>8500</v>
      </c>
      <c r="BH42" s="16">
        <f>SUM(BH39:BH41)</f>
        <v>8500</v>
      </c>
      <c r="BI42" s="5"/>
      <c r="BJ42" s="25" t="s">
        <v>7</v>
      </c>
      <c r="BK42" s="15">
        <f>SUM(BK39:BK41)</f>
        <v>8500</v>
      </c>
      <c r="BL42" s="16">
        <f>SUM(BL39:BL41)</f>
        <v>8500</v>
      </c>
      <c r="BM42" s="5"/>
      <c r="BN42" s="25" t="s">
        <v>7</v>
      </c>
      <c r="BO42" s="15">
        <f>SUM(BO39:BO41)</f>
        <v>8500</v>
      </c>
      <c r="BP42" s="16">
        <f>SUM(BP39:BP41)</f>
        <v>8500</v>
      </c>
      <c r="BQ42" s="5"/>
      <c r="BR42" s="25" t="s">
        <v>7</v>
      </c>
      <c r="BS42" s="15">
        <f>SUM(BS39:BS41)</f>
        <v>8500</v>
      </c>
      <c r="BT42" s="16">
        <f>SUM(BT39:BT41)</f>
        <v>8500</v>
      </c>
    </row>
    <row r="43" spans="1:72" x14ac:dyDescent="0.25">
      <c r="A43" s="5"/>
      <c r="B43" s="8"/>
      <c r="C43" s="8"/>
      <c r="D43" s="11"/>
      <c r="E43" s="5"/>
      <c r="F43" s="8"/>
      <c r="G43" s="8"/>
      <c r="H43" s="11"/>
      <c r="I43" s="5"/>
      <c r="J43" s="8"/>
      <c r="K43" s="8"/>
      <c r="L43" s="11"/>
      <c r="M43" s="5"/>
      <c r="N43" s="8"/>
      <c r="O43" s="8"/>
      <c r="P43" s="11"/>
      <c r="Q43" s="5"/>
      <c r="R43" s="8"/>
      <c r="S43" s="8"/>
      <c r="T43" s="11"/>
      <c r="U43" s="5"/>
      <c r="V43" s="8"/>
      <c r="W43" s="8"/>
      <c r="X43" s="11"/>
      <c r="Y43" s="5"/>
      <c r="Z43" s="8"/>
      <c r="AA43" s="26"/>
      <c r="AB43" s="11"/>
      <c r="AC43" s="5"/>
      <c r="AD43" s="8"/>
      <c r="AE43" s="26"/>
      <c r="AF43" s="11"/>
      <c r="AG43" s="5"/>
      <c r="AH43" s="8"/>
      <c r="AI43" s="26"/>
      <c r="AJ43" s="11"/>
      <c r="AK43" s="5"/>
      <c r="AL43" s="8"/>
      <c r="AM43" s="26"/>
      <c r="AN43" s="11"/>
      <c r="AO43" s="5"/>
      <c r="AP43" s="8"/>
      <c r="AQ43" s="26"/>
      <c r="AR43" s="11"/>
      <c r="AS43" s="5"/>
      <c r="AT43" s="8"/>
      <c r="AU43" s="26"/>
      <c r="AV43" s="11"/>
      <c r="AW43" s="5"/>
      <c r="AX43" s="8"/>
      <c r="AY43" s="26"/>
      <c r="AZ43" s="11"/>
      <c r="BA43" s="5"/>
      <c r="BB43" s="8"/>
      <c r="BC43" s="26"/>
      <c r="BD43" s="11"/>
      <c r="BE43" s="5"/>
      <c r="BF43" s="8"/>
      <c r="BG43" s="26"/>
      <c r="BH43" s="11"/>
      <c r="BI43" s="5"/>
      <c r="BJ43" s="8"/>
      <c r="BK43" s="26"/>
      <c r="BL43" s="11"/>
      <c r="BM43" s="5"/>
      <c r="BN43" s="8"/>
      <c r="BO43" s="26"/>
      <c r="BP43" s="11"/>
      <c r="BQ43" s="5"/>
      <c r="BR43" s="8"/>
      <c r="BS43" s="26"/>
      <c r="BT43" s="11"/>
    </row>
    <row r="44" spans="1:72" x14ac:dyDescent="0.25">
      <c r="A44" s="13"/>
      <c r="B44" s="14" t="s">
        <v>27</v>
      </c>
      <c r="C44" s="15">
        <f>C3+C35+C37-C42</f>
        <v>29100</v>
      </c>
      <c r="D44" s="16">
        <f>D3+D35+D37-D42</f>
        <v>31500</v>
      </c>
      <c r="E44" s="13"/>
      <c r="F44" s="14" t="s">
        <v>27</v>
      </c>
      <c r="G44" s="15">
        <f>G3+G35+G37-G42</f>
        <v>32380</v>
      </c>
      <c r="H44" s="16">
        <f>H3+H35+H37-H42</f>
        <v>43000</v>
      </c>
      <c r="I44" s="13"/>
      <c r="J44" s="14" t="s">
        <v>27</v>
      </c>
      <c r="K44" s="15">
        <f>K3+K35+K37-K42</f>
        <v>35004</v>
      </c>
      <c r="L44" s="16">
        <f>L3+L35+L37-L42</f>
        <v>54500</v>
      </c>
      <c r="M44" s="13"/>
      <c r="N44" s="14" t="s">
        <v>27</v>
      </c>
      <c r="O44" s="15">
        <f>O3+O35+O37-O42</f>
        <v>37103</v>
      </c>
      <c r="P44" s="16">
        <f>P3+P35+P37-P42</f>
        <v>68000</v>
      </c>
      <c r="Q44" s="13"/>
      <c r="R44" s="14" t="s">
        <v>27</v>
      </c>
      <c r="S44" s="15">
        <f>S3+S35+S37-S42</f>
        <v>38782</v>
      </c>
      <c r="T44" s="16">
        <f>T3+T35+T37-T42</f>
        <v>79500</v>
      </c>
      <c r="U44" s="13"/>
      <c r="V44" s="14" t="s">
        <v>27</v>
      </c>
      <c r="W44" s="15">
        <f>W3+W35+W37-W42</f>
        <v>40126</v>
      </c>
      <c r="X44" s="16">
        <f>X3+X35+X37-X42</f>
        <v>91000</v>
      </c>
      <c r="Y44" s="13"/>
      <c r="Z44" s="14" t="s">
        <v>27</v>
      </c>
      <c r="AA44" s="15">
        <f>AA3+AA35+AA37-AA42</f>
        <v>43766</v>
      </c>
      <c r="AB44" s="16">
        <f>AB3+AB35+AB37-AB42</f>
        <v>109750</v>
      </c>
      <c r="AC44" s="13"/>
      <c r="AD44" s="14" t="s">
        <v>27</v>
      </c>
      <c r="AE44" s="15">
        <f>AE3+AE35+AE37-AE42</f>
        <v>44113</v>
      </c>
      <c r="AF44" s="16">
        <f>AF3+AF35+AF37-AF42</f>
        <v>121250</v>
      </c>
      <c r="AG44" s="13"/>
      <c r="AH44" s="14" t="s">
        <v>27</v>
      </c>
      <c r="AI44" s="15">
        <f>AI3+AI35+AI37-AI42</f>
        <v>44390</v>
      </c>
      <c r="AJ44" s="16">
        <f>AJ3+AJ35+AJ37-AJ42</f>
        <v>132750</v>
      </c>
      <c r="AK44" s="13"/>
      <c r="AL44" s="14" t="s">
        <v>27</v>
      </c>
      <c r="AM44" s="15">
        <f>AM3+AM35+AM37-AM42</f>
        <v>44612</v>
      </c>
      <c r="AN44" s="16">
        <f>AN3+AN35+AN37-AN42</f>
        <v>144250</v>
      </c>
      <c r="AO44" s="13"/>
      <c r="AP44" s="14" t="s">
        <v>27</v>
      </c>
      <c r="AQ44" s="15">
        <f>AQ3+AQ35+AQ37-AQ42</f>
        <v>44790</v>
      </c>
      <c r="AR44" s="16">
        <f>AR3+AR35+AR37-AR42</f>
        <v>155750</v>
      </c>
      <c r="AS44" s="13"/>
      <c r="AT44" s="14" t="s">
        <v>27</v>
      </c>
      <c r="AU44" s="15">
        <f>AU3+AU35+AU37-AU42</f>
        <v>44932</v>
      </c>
      <c r="AV44" s="16">
        <f>AV3+AV35+AV37-AV42</f>
        <v>167250</v>
      </c>
      <c r="AW44" s="13"/>
      <c r="AX44" s="14" t="s">
        <v>27</v>
      </c>
      <c r="AY44" s="15">
        <f>AY3+AY35+AY37-AY42</f>
        <v>45046</v>
      </c>
      <c r="AZ44" s="16">
        <f>AZ3+AZ35+AZ37-AZ42</f>
        <v>178750</v>
      </c>
      <c r="BA44" s="13"/>
      <c r="BB44" s="14" t="s">
        <v>27</v>
      </c>
      <c r="BC44" s="15">
        <f>BC3+BC35+BC37-BC42</f>
        <v>45137</v>
      </c>
      <c r="BD44" s="16">
        <f>BD3+BD35+BD37-BD42</f>
        <v>190250</v>
      </c>
      <c r="BE44" s="13"/>
      <c r="BF44" s="14" t="s">
        <v>27</v>
      </c>
      <c r="BG44" s="15">
        <f>BG3+BG35+BG37-BG42</f>
        <v>45210</v>
      </c>
      <c r="BH44" s="16">
        <f>BH3+BH35+BH37-BH42</f>
        <v>201750</v>
      </c>
      <c r="BI44" s="13"/>
      <c r="BJ44" s="14" t="s">
        <v>27</v>
      </c>
      <c r="BK44" s="15">
        <f>BK3+BK35+BK37-BK42</f>
        <v>45268</v>
      </c>
      <c r="BL44" s="16">
        <f>BL3+BL35+BL37-BL42</f>
        <v>213250</v>
      </c>
      <c r="BM44" s="13"/>
      <c r="BN44" s="14" t="s">
        <v>27</v>
      </c>
      <c r="BO44" s="15">
        <f>BO3+BO35+BO37-BO42</f>
        <v>45314</v>
      </c>
      <c r="BP44" s="16">
        <f>BP3+BP35+BP37-BP42</f>
        <v>224750</v>
      </c>
      <c r="BQ44" s="13"/>
      <c r="BR44" s="14" t="s">
        <v>27</v>
      </c>
      <c r="BS44" s="15">
        <f>BS3+BS35+BS37-BS42</f>
        <v>45351</v>
      </c>
      <c r="BT44" s="16">
        <f>BT3+BT35+BT37-BT42</f>
        <v>236250</v>
      </c>
    </row>
    <row r="45" spans="1:72" x14ac:dyDescent="0.25">
      <c r="A45" s="5"/>
      <c r="B45" s="8"/>
      <c r="C45" s="8"/>
      <c r="D45" s="11"/>
      <c r="E45" s="5"/>
      <c r="F45" s="8"/>
      <c r="G45" s="8"/>
      <c r="H45" s="11"/>
      <c r="I45" s="5"/>
      <c r="J45" s="8"/>
      <c r="K45" s="8"/>
      <c r="L45" s="11"/>
      <c r="M45" s="5"/>
      <c r="N45" s="8"/>
      <c r="O45" s="8"/>
      <c r="P45" s="11"/>
      <c r="Q45" s="5"/>
      <c r="R45" s="8"/>
      <c r="S45" s="8"/>
      <c r="T45" s="11"/>
      <c r="U45" s="5"/>
      <c r="V45" s="8"/>
      <c r="W45" s="8"/>
      <c r="X45" s="11"/>
      <c r="Y45" s="5"/>
      <c r="Z45" s="8"/>
      <c r="AA45" s="8"/>
      <c r="AB45" s="11"/>
      <c r="AC45" s="5"/>
      <c r="AD45" s="8"/>
      <c r="AE45" s="8"/>
      <c r="AF45" s="11"/>
      <c r="AG45" s="5"/>
      <c r="AH45" s="8"/>
      <c r="AI45" s="8"/>
      <c r="AJ45" s="11"/>
      <c r="AK45" s="5"/>
      <c r="AL45" s="8"/>
      <c r="AM45" s="8"/>
      <c r="AN45" s="11"/>
      <c r="AO45" s="5"/>
      <c r="AP45" s="8"/>
      <c r="AQ45" s="8"/>
      <c r="AR45" s="11"/>
      <c r="AS45" s="5"/>
      <c r="AT45" s="8"/>
      <c r="AU45" s="8"/>
      <c r="AV45" s="11"/>
      <c r="AW45" s="5"/>
      <c r="AX45" s="8"/>
      <c r="AY45" s="8"/>
      <c r="AZ45" s="11"/>
      <c r="BA45" s="5"/>
      <c r="BB45" s="8"/>
      <c r="BC45" s="8"/>
      <c r="BD45" s="11"/>
      <c r="BE45" s="5"/>
      <c r="BF45" s="8"/>
      <c r="BG45" s="8"/>
      <c r="BH45" s="11"/>
      <c r="BI45" s="5"/>
      <c r="BJ45" s="8"/>
      <c r="BK45" s="8"/>
      <c r="BL45" s="11"/>
      <c r="BM45" s="5"/>
      <c r="BN45" s="8"/>
      <c r="BO45" s="8"/>
      <c r="BP45" s="11"/>
      <c r="BQ45" s="5"/>
      <c r="BR45" s="8"/>
      <c r="BS45" s="8"/>
      <c r="BT45" s="11"/>
    </row>
    <row r="46" spans="1:72" x14ac:dyDescent="0.25">
      <c r="A46" s="5"/>
      <c r="B46" s="8" t="s">
        <v>6</v>
      </c>
      <c r="C46" s="8"/>
      <c r="D46" s="11"/>
      <c r="E46" s="5"/>
      <c r="F46" s="8" t="s">
        <v>6</v>
      </c>
      <c r="G46" s="8"/>
      <c r="H46" s="11"/>
      <c r="I46" s="5"/>
      <c r="J46" s="8" t="s">
        <v>6</v>
      </c>
      <c r="K46" s="8"/>
      <c r="L46" s="11"/>
      <c r="M46" s="5"/>
      <c r="N46" s="8" t="s">
        <v>6</v>
      </c>
      <c r="O46" s="8"/>
      <c r="P46" s="11"/>
      <c r="Q46" s="5"/>
      <c r="R46" s="8" t="s">
        <v>6</v>
      </c>
      <c r="S46" s="8"/>
      <c r="T46" s="11"/>
      <c r="U46" s="5"/>
      <c r="V46" s="8" t="s">
        <v>6</v>
      </c>
      <c r="W46" s="8"/>
      <c r="X46" s="11"/>
      <c r="Y46" s="5"/>
      <c r="Z46" s="8" t="s">
        <v>6</v>
      </c>
      <c r="AA46" s="8"/>
      <c r="AB46" s="11"/>
      <c r="AC46" s="5"/>
      <c r="AD46" s="8" t="s">
        <v>6</v>
      </c>
      <c r="AE46" s="8"/>
      <c r="AF46" s="11"/>
      <c r="AG46" s="5"/>
      <c r="AH46" s="8" t="s">
        <v>6</v>
      </c>
      <c r="AI46" s="8"/>
      <c r="AJ46" s="11"/>
      <c r="AK46" s="5"/>
      <c r="AL46" s="8" t="s">
        <v>6</v>
      </c>
      <c r="AM46" s="8"/>
      <c r="AN46" s="11"/>
      <c r="AO46" s="5"/>
      <c r="AP46" s="8" t="s">
        <v>6</v>
      </c>
      <c r="AQ46" s="8"/>
      <c r="AR46" s="11"/>
      <c r="AS46" s="5"/>
      <c r="AT46" s="8" t="s">
        <v>6</v>
      </c>
      <c r="AU46" s="8"/>
      <c r="AV46" s="11"/>
      <c r="AW46" s="5"/>
      <c r="AX46" s="8" t="s">
        <v>6</v>
      </c>
      <c r="AY46" s="8"/>
      <c r="AZ46" s="11"/>
      <c r="BA46" s="5"/>
      <c r="BB46" s="8" t="s">
        <v>6</v>
      </c>
      <c r="BC46" s="8"/>
      <c r="BD46" s="11"/>
      <c r="BE46" s="5"/>
      <c r="BF46" s="8" t="s">
        <v>6</v>
      </c>
      <c r="BG46" s="8"/>
      <c r="BH46" s="11"/>
      <c r="BI46" s="5"/>
      <c r="BJ46" s="8" t="s">
        <v>6</v>
      </c>
      <c r="BK46" s="8"/>
      <c r="BL46" s="11"/>
      <c r="BM46" s="5"/>
      <c r="BN46" s="8" t="s">
        <v>6</v>
      </c>
      <c r="BO46" s="8"/>
      <c r="BP46" s="11"/>
      <c r="BQ46" s="5"/>
      <c r="BR46" s="8" t="s">
        <v>6</v>
      </c>
      <c r="BS46" s="8"/>
      <c r="BT46" s="11"/>
    </row>
    <row r="47" spans="1:72" x14ac:dyDescent="0.25">
      <c r="A47" s="5" t="s">
        <v>33</v>
      </c>
      <c r="B47" s="21"/>
      <c r="C47" s="21"/>
      <c r="D47" s="21"/>
      <c r="E47" s="5" t="s">
        <v>33</v>
      </c>
      <c r="F47" s="21"/>
      <c r="G47" s="21"/>
      <c r="H47" s="22"/>
      <c r="I47" s="5" t="s">
        <v>33</v>
      </c>
      <c r="J47" s="21"/>
      <c r="K47" s="21"/>
      <c r="L47" s="21"/>
      <c r="M47" s="5" t="s">
        <v>33</v>
      </c>
      <c r="N47" s="21"/>
      <c r="O47" s="22"/>
      <c r="P47" s="22"/>
      <c r="Q47" s="5" t="s">
        <v>33</v>
      </c>
      <c r="R47" s="21"/>
      <c r="S47" s="22"/>
      <c r="T47" s="22"/>
      <c r="U47" s="5" t="s">
        <v>33</v>
      </c>
      <c r="V47" s="21"/>
      <c r="W47" s="22"/>
      <c r="X47" s="22"/>
      <c r="Y47" s="5" t="s">
        <v>33</v>
      </c>
      <c r="Z47" s="21"/>
      <c r="AA47" s="22"/>
      <c r="AB47" s="22"/>
      <c r="AC47" s="5" t="s">
        <v>33</v>
      </c>
      <c r="AD47" s="21"/>
      <c r="AE47" s="22"/>
      <c r="AF47" s="22"/>
      <c r="AG47" s="5" t="s">
        <v>33</v>
      </c>
      <c r="AH47" s="21"/>
      <c r="AI47" s="22"/>
      <c r="AJ47" s="22"/>
      <c r="AK47" s="5" t="s">
        <v>33</v>
      </c>
      <c r="AL47" s="21"/>
      <c r="AM47" s="22"/>
      <c r="AN47" s="22"/>
      <c r="AO47" s="5" t="s">
        <v>33</v>
      </c>
      <c r="AP47" s="21"/>
      <c r="AQ47" s="22"/>
      <c r="AR47" s="22"/>
      <c r="AS47" s="5" t="s">
        <v>33</v>
      </c>
      <c r="AT47" s="21"/>
      <c r="AU47" s="22"/>
      <c r="AV47" s="22"/>
      <c r="AW47" s="5" t="s">
        <v>33</v>
      </c>
      <c r="AX47" s="21"/>
      <c r="AY47" s="22"/>
      <c r="AZ47" s="22"/>
      <c r="BA47" s="5" t="s">
        <v>33</v>
      </c>
      <c r="BB47" s="21"/>
      <c r="BC47" s="22"/>
      <c r="BD47" s="22"/>
      <c r="BE47" s="5" t="s">
        <v>33</v>
      </c>
      <c r="BF47" s="21"/>
      <c r="BG47" s="22"/>
      <c r="BH47" s="22"/>
      <c r="BI47" s="5" t="s">
        <v>33</v>
      </c>
      <c r="BJ47" s="21"/>
      <c r="BK47" s="22"/>
      <c r="BL47" s="22"/>
      <c r="BM47" s="5" t="s">
        <v>33</v>
      </c>
      <c r="BN47" s="21"/>
      <c r="BO47" s="22"/>
      <c r="BP47" s="22"/>
      <c r="BQ47" s="5" t="s">
        <v>33</v>
      </c>
      <c r="BR47" s="21"/>
      <c r="BS47" s="22"/>
      <c r="BT47" s="22"/>
    </row>
    <row r="48" spans="1:72" x14ac:dyDescent="0.25">
      <c r="A48" s="5" t="s">
        <v>34</v>
      </c>
      <c r="B48" s="21"/>
      <c r="C48" s="21"/>
      <c r="D48" s="21"/>
      <c r="E48" s="5" t="s">
        <v>34</v>
      </c>
      <c r="F48" s="21"/>
      <c r="G48" s="21"/>
      <c r="H48" s="21"/>
      <c r="I48" s="5" t="s">
        <v>34</v>
      </c>
      <c r="J48" s="21"/>
      <c r="K48" s="21"/>
      <c r="L48" s="21"/>
      <c r="M48" s="5" t="s">
        <v>34</v>
      </c>
      <c r="N48" s="21"/>
      <c r="O48" s="22"/>
      <c r="P48" s="21"/>
      <c r="Q48" s="5" t="s">
        <v>34</v>
      </c>
      <c r="R48" s="21"/>
      <c r="S48" s="22"/>
      <c r="T48" s="21"/>
      <c r="U48" s="5" t="s">
        <v>34</v>
      </c>
      <c r="V48" s="21"/>
      <c r="W48" s="22"/>
      <c r="X48" s="22"/>
      <c r="Y48" s="5" t="s">
        <v>34</v>
      </c>
      <c r="Z48" s="21"/>
      <c r="AA48" s="22"/>
      <c r="AB48" s="22"/>
      <c r="AC48" s="5" t="s">
        <v>34</v>
      </c>
      <c r="AD48" s="21"/>
      <c r="AE48" s="22"/>
      <c r="AF48" s="22"/>
      <c r="AG48" s="5" t="s">
        <v>34</v>
      </c>
      <c r="AH48" s="21"/>
      <c r="AI48" s="22"/>
      <c r="AJ48" s="22"/>
      <c r="AK48" s="5" t="s">
        <v>34</v>
      </c>
      <c r="AL48" s="21"/>
      <c r="AM48" s="22"/>
      <c r="AN48" s="22"/>
      <c r="AO48" s="5" t="s">
        <v>34</v>
      </c>
      <c r="AP48" s="21"/>
      <c r="AQ48" s="22"/>
      <c r="AR48" s="22"/>
      <c r="AS48" s="5" t="s">
        <v>34</v>
      </c>
      <c r="AT48" s="21"/>
      <c r="AU48" s="22"/>
      <c r="AV48" s="22"/>
      <c r="AW48" s="5" t="s">
        <v>34</v>
      </c>
      <c r="AX48" s="21"/>
      <c r="AY48" s="22"/>
      <c r="AZ48" s="22"/>
      <c r="BA48" s="5" t="s">
        <v>34</v>
      </c>
      <c r="BB48" s="21"/>
      <c r="BC48" s="22"/>
      <c r="BD48" s="22"/>
      <c r="BE48" s="5" t="s">
        <v>34</v>
      </c>
      <c r="BF48" s="21"/>
      <c r="BG48" s="22"/>
      <c r="BH48" s="22"/>
      <c r="BI48" s="5" t="s">
        <v>34</v>
      </c>
      <c r="BJ48" s="21"/>
      <c r="BK48" s="22"/>
      <c r="BL48" s="22"/>
      <c r="BM48" s="5" t="s">
        <v>34</v>
      </c>
      <c r="BN48" s="21"/>
      <c r="BO48" s="22"/>
      <c r="BP48" s="22"/>
      <c r="BQ48" s="5" t="s">
        <v>34</v>
      </c>
      <c r="BR48" s="21"/>
      <c r="BS48" s="22"/>
      <c r="BT48" s="22"/>
    </row>
    <row r="49" spans="1:72" x14ac:dyDescent="0.25">
      <c r="A49" s="5" t="s">
        <v>35</v>
      </c>
      <c r="B49" s="21"/>
      <c r="C49" s="21"/>
      <c r="D49" s="21"/>
      <c r="E49" s="5" t="s">
        <v>35</v>
      </c>
      <c r="F49" s="21"/>
      <c r="G49" s="21"/>
      <c r="H49" s="21"/>
      <c r="I49" s="5" t="s">
        <v>35</v>
      </c>
      <c r="J49" s="21"/>
      <c r="K49" s="21"/>
      <c r="L49" s="21"/>
      <c r="M49" s="5" t="s">
        <v>35</v>
      </c>
      <c r="N49" s="21"/>
      <c r="O49" s="22"/>
      <c r="P49" s="21"/>
      <c r="Q49" s="5" t="s">
        <v>35</v>
      </c>
      <c r="R49" s="21"/>
      <c r="S49" s="22"/>
      <c r="T49" s="21"/>
      <c r="U49" s="5" t="s">
        <v>35</v>
      </c>
      <c r="V49" s="21"/>
      <c r="W49" s="22"/>
      <c r="X49" s="22"/>
      <c r="Y49" s="5" t="s">
        <v>35</v>
      </c>
      <c r="Z49" s="21"/>
      <c r="AA49" s="22"/>
      <c r="AB49" s="22"/>
      <c r="AC49" s="5" t="s">
        <v>35</v>
      </c>
      <c r="AD49" s="21"/>
      <c r="AE49" s="22"/>
      <c r="AF49" s="22"/>
      <c r="AG49" s="5" t="s">
        <v>35</v>
      </c>
      <c r="AH49" s="21"/>
      <c r="AI49" s="22"/>
      <c r="AJ49" s="22"/>
      <c r="AK49" s="5" t="s">
        <v>35</v>
      </c>
      <c r="AL49" s="21"/>
      <c r="AM49" s="22"/>
      <c r="AN49" s="22"/>
      <c r="AO49" s="5" t="s">
        <v>35</v>
      </c>
      <c r="AP49" s="21"/>
      <c r="AQ49" s="22"/>
      <c r="AR49" s="22"/>
      <c r="AS49" s="5" t="s">
        <v>35</v>
      </c>
      <c r="AT49" s="21"/>
      <c r="AU49" s="22"/>
      <c r="AV49" s="22"/>
      <c r="AW49" s="5" t="s">
        <v>35</v>
      </c>
      <c r="AX49" s="21"/>
      <c r="AY49" s="22"/>
      <c r="AZ49" s="22"/>
      <c r="BA49" s="5" t="s">
        <v>35</v>
      </c>
      <c r="BB49" s="21"/>
      <c r="BC49" s="22"/>
      <c r="BD49" s="22"/>
      <c r="BE49" s="5" t="s">
        <v>35</v>
      </c>
      <c r="BF49" s="21"/>
      <c r="BG49" s="22"/>
      <c r="BH49" s="22"/>
      <c r="BI49" s="5" t="s">
        <v>35</v>
      </c>
      <c r="BJ49" s="21"/>
      <c r="BK49" s="22"/>
      <c r="BL49" s="22"/>
      <c r="BM49" s="5" t="s">
        <v>35</v>
      </c>
      <c r="BN49" s="21"/>
      <c r="BO49" s="22"/>
      <c r="BP49" s="22"/>
      <c r="BQ49" s="5" t="s">
        <v>35</v>
      </c>
      <c r="BR49" s="21"/>
      <c r="BS49" s="22"/>
      <c r="BT49" s="22"/>
    </row>
    <row r="50" spans="1:72" x14ac:dyDescent="0.25">
      <c r="A50" s="5" t="s">
        <v>36</v>
      </c>
      <c r="B50" s="21"/>
      <c r="C50" s="21"/>
      <c r="D50" s="21"/>
      <c r="E50" s="5" t="s">
        <v>36</v>
      </c>
      <c r="F50" s="21"/>
      <c r="G50" s="21"/>
      <c r="H50" s="21"/>
      <c r="I50" s="5" t="s">
        <v>36</v>
      </c>
      <c r="J50" s="21"/>
      <c r="K50" s="21"/>
      <c r="L50" s="21"/>
      <c r="M50" s="5" t="s">
        <v>36</v>
      </c>
      <c r="N50" s="21"/>
      <c r="O50" s="22"/>
      <c r="P50" s="21"/>
      <c r="Q50" s="5" t="s">
        <v>36</v>
      </c>
      <c r="R50" s="21"/>
      <c r="S50" s="22"/>
      <c r="T50" s="21"/>
      <c r="U50" s="5" t="s">
        <v>36</v>
      </c>
      <c r="V50" s="21"/>
      <c r="W50" s="22"/>
      <c r="X50" s="21"/>
      <c r="Y50" s="5" t="s">
        <v>36</v>
      </c>
      <c r="Z50" s="21"/>
      <c r="AA50" s="22"/>
      <c r="AB50" s="21"/>
      <c r="AC50" s="5" t="s">
        <v>36</v>
      </c>
      <c r="AD50" s="21"/>
      <c r="AE50" s="22"/>
      <c r="AF50" s="21"/>
      <c r="AG50" s="5" t="s">
        <v>36</v>
      </c>
      <c r="AH50" s="21"/>
      <c r="AI50" s="22"/>
      <c r="AJ50" s="21"/>
      <c r="AK50" s="5" t="s">
        <v>36</v>
      </c>
      <c r="AL50" s="21"/>
      <c r="AM50" s="22"/>
      <c r="AN50" s="21"/>
      <c r="AO50" s="5" t="s">
        <v>36</v>
      </c>
      <c r="AP50" s="21"/>
      <c r="AQ50" s="22"/>
      <c r="AR50" s="21"/>
      <c r="AS50" s="5" t="s">
        <v>36</v>
      </c>
      <c r="AT50" s="21"/>
      <c r="AU50" s="22"/>
      <c r="AV50" s="21"/>
      <c r="AW50" s="5" t="s">
        <v>36</v>
      </c>
      <c r="AX50" s="21"/>
      <c r="AY50" s="22"/>
      <c r="AZ50" s="21"/>
      <c r="BA50" s="5" t="s">
        <v>36</v>
      </c>
      <c r="BB50" s="21"/>
      <c r="BC50" s="22"/>
      <c r="BD50" s="22"/>
      <c r="BE50" s="5" t="s">
        <v>36</v>
      </c>
      <c r="BF50" s="21"/>
      <c r="BG50" s="22"/>
      <c r="BH50" s="22"/>
      <c r="BI50" s="5" t="s">
        <v>36</v>
      </c>
      <c r="BJ50" s="21"/>
      <c r="BK50" s="22"/>
      <c r="BL50" s="22"/>
      <c r="BM50" s="5" t="s">
        <v>36</v>
      </c>
      <c r="BN50" s="21"/>
      <c r="BO50" s="22"/>
      <c r="BP50" s="22"/>
      <c r="BQ50" s="5" t="s">
        <v>36</v>
      </c>
      <c r="BR50" s="21"/>
      <c r="BS50" s="22"/>
      <c r="BT50" s="22"/>
    </row>
    <row r="51" spans="1:72" x14ac:dyDescent="0.25">
      <c r="A51" s="5" t="s">
        <v>49</v>
      </c>
      <c r="B51" s="21"/>
      <c r="C51" s="21"/>
      <c r="D51" s="21"/>
      <c r="E51" s="5" t="s">
        <v>49</v>
      </c>
      <c r="F51" s="21"/>
      <c r="G51" s="21"/>
      <c r="H51" s="21"/>
      <c r="I51" s="5" t="s">
        <v>49</v>
      </c>
      <c r="J51" s="21"/>
      <c r="K51" s="21"/>
      <c r="L51" s="21"/>
      <c r="M51" s="5" t="s">
        <v>49</v>
      </c>
      <c r="N51" s="21"/>
      <c r="O51" s="22"/>
      <c r="P51" s="21"/>
      <c r="Q51" s="5" t="s">
        <v>49</v>
      </c>
      <c r="R51" s="21"/>
      <c r="S51" s="22"/>
      <c r="T51" s="21"/>
      <c r="U51" s="5" t="s">
        <v>49</v>
      </c>
      <c r="V51" s="21"/>
      <c r="W51" s="22"/>
      <c r="X51" s="21"/>
      <c r="Y51" s="5" t="s">
        <v>49</v>
      </c>
      <c r="Z51" s="21"/>
      <c r="AA51" s="22"/>
      <c r="AB51" s="21"/>
      <c r="AC51" s="5" t="s">
        <v>49</v>
      </c>
      <c r="AD51" s="21"/>
      <c r="AE51" s="22"/>
      <c r="AF51" s="21"/>
      <c r="AG51" s="5" t="s">
        <v>49</v>
      </c>
      <c r="AH51" s="21"/>
      <c r="AI51" s="22"/>
      <c r="AJ51" s="21"/>
      <c r="AK51" s="5" t="s">
        <v>49</v>
      </c>
      <c r="AL51" s="21"/>
      <c r="AM51" s="22"/>
      <c r="AN51" s="21"/>
      <c r="AO51" s="5" t="s">
        <v>49</v>
      </c>
      <c r="AP51" s="21"/>
      <c r="AQ51" s="22"/>
      <c r="AR51" s="21"/>
      <c r="AS51" s="5" t="s">
        <v>49</v>
      </c>
      <c r="AT51" s="21"/>
      <c r="AU51" s="22"/>
      <c r="AV51" s="21"/>
      <c r="AW51" s="5" t="s">
        <v>49</v>
      </c>
      <c r="AX51" s="21"/>
      <c r="AY51" s="22"/>
      <c r="AZ51" s="21"/>
      <c r="BA51" s="5" t="s">
        <v>49</v>
      </c>
      <c r="BB51" s="21"/>
      <c r="BC51" s="22"/>
      <c r="BD51" s="21"/>
      <c r="BE51" s="5" t="s">
        <v>49</v>
      </c>
      <c r="BF51" s="21"/>
      <c r="BG51" s="22"/>
      <c r="BH51" s="21"/>
      <c r="BI51" s="5" t="s">
        <v>49</v>
      </c>
      <c r="BJ51" s="21"/>
      <c r="BK51" s="22"/>
      <c r="BL51" s="21"/>
      <c r="BM51" s="5" t="s">
        <v>49</v>
      </c>
      <c r="BN51" s="21"/>
      <c r="BO51" s="22"/>
      <c r="BP51" s="21"/>
      <c r="BQ51" s="5" t="s">
        <v>49</v>
      </c>
      <c r="BR51" s="21"/>
      <c r="BS51" s="22"/>
      <c r="BT51" s="21"/>
    </row>
    <row r="52" spans="1:72" x14ac:dyDescent="0.25">
      <c r="A52" s="5" t="s">
        <v>50</v>
      </c>
      <c r="B52" s="21"/>
      <c r="C52" s="21"/>
      <c r="D52" s="21"/>
      <c r="E52" s="5" t="s">
        <v>50</v>
      </c>
      <c r="F52" s="21"/>
      <c r="G52" s="21"/>
      <c r="H52" s="21"/>
      <c r="I52" s="5" t="s">
        <v>50</v>
      </c>
      <c r="J52" s="21"/>
      <c r="K52" s="21"/>
      <c r="L52" s="21"/>
      <c r="M52" s="5" t="s">
        <v>50</v>
      </c>
      <c r="N52" s="21"/>
      <c r="O52" s="22"/>
      <c r="P52" s="21"/>
      <c r="Q52" s="5" t="s">
        <v>50</v>
      </c>
      <c r="R52" s="21"/>
      <c r="S52" s="22"/>
      <c r="T52" s="21"/>
      <c r="U52" s="5" t="s">
        <v>50</v>
      </c>
      <c r="V52" s="21"/>
      <c r="W52" s="22"/>
      <c r="X52" s="21"/>
      <c r="Y52" s="5" t="s">
        <v>50</v>
      </c>
      <c r="Z52" s="21"/>
      <c r="AA52" s="22"/>
      <c r="AB52" s="21"/>
      <c r="AC52" s="5" t="s">
        <v>50</v>
      </c>
      <c r="AD52" s="21"/>
      <c r="AE52" s="22"/>
      <c r="AF52" s="21"/>
      <c r="AG52" s="5" t="s">
        <v>50</v>
      </c>
      <c r="AH52" s="21"/>
      <c r="AI52" s="22"/>
      <c r="AJ52" s="21"/>
      <c r="AK52" s="5" t="s">
        <v>50</v>
      </c>
      <c r="AL52" s="21"/>
      <c r="AM52" s="22"/>
      <c r="AN52" s="21"/>
      <c r="AO52" s="5" t="s">
        <v>50</v>
      </c>
      <c r="AP52" s="21"/>
      <c r="AQ52" s="22"/>
      <c r="AR52" s="21"/>
      <c r="AS52" s="5" t="s">
        <v>50</v>
      </c>
      <c r="AT52" s="21"/>
      <c r="AU52" s="22"/>
      <c r="AV52" s="21"/>
      <c r="AW52" s="5" t="s">
        <v>50</v>
      </c>
      <c r="AX52" s="21"/>
      <c r="AY52" s="22"/>
      <c r="AZ52" s="21"/>
      <c r="BA52" s="5" t="s">
        <v>50</v>
      </c>
      <c r="BB52" s="21"/>
      <c r="BC52" s="22"/>
      <c r="BD52" s="21"/>
      <c r="BE52" s="5" t="s">
        <v>50</v>
      </c>
      <c r="BF52" s="21"/>
      <c r="BG52" s="22"/>
      <c r="BH52" s="21"/>
      <c r="BI52" s="5" t="s">
        <v>50</v>
      </c>
      <c r="BJ52" s="21"/>
      <c r="BK52" s="22"/>
      <c r="BL52" s="21"/>
      <c r="BM52" s="5" t="s">
        <v>50</v>
      </c>
      <c r="BN52" s="21"/>
      <c r="BO52" s="22"/>
      <c r="BP52" s="21"/>
      <c r="BQ52" s="5" t="s">
        <v>50</v>
      </c>
      <c r="BR52" s="21"/>
      <c r="BS52" s="22"/>
      <c r="BT52" s="21"/>
    </row>
    <row r="53" spans="1:72" x14ac:dyDescent="0.25">
      <c r="A53" s="5" t="s">
        <v>51</v>
      </c>
      <c r="B53" s="21"/>
      <c r="C53" s="21"/>
      <c r="D53" s="21"/>
      <c r="E53" s="5" t="s">
        <v>51</v>
      </c>
      <c r="F53" s="21"/>
      <c r="G53" s="21"/>
      <c r="H53" s="21"/>
      <c r="I53" s="5" t="s">
        <v>51</v>
      </c>
      <c r="J53" s="21"/>
      <c r="K53" s="21"/>
      <c r="L53" s="21"/>
      <c r="M53" s="5" t="s">
        <v>51</v>
      </c>
      <c r="N53" s="21"/>
      <c r="O53" s="22"/>
      <c r="P53" s="21"/>
      <c r="Q53" s="5" t="s">
        <v>51</v>
      </c>
      <c r="R53" s="21"/>
      <c r="S53" s="22"/>
      <c r="T53" s="21"/>
      <c r="U53" s="5" t="s">
        <v>51</v>
      </c>
      <c r="V53" s="21"/>
      <c r="W53" s="22"/>
      <c r="X53" s="21"/>
      <c r="Y53" s="5" t="s">
        <v>51</v>
      </c>
      <c r="Z53" s="21"/>
      <c r="AA53" s="22"/>
      <c r="AB53" s="21"/>
      <c r="AC53" s="5" t="s">
        <v>51</v>
      </c>
      <c r="AD53" s="21"/>
      <c r="AE53" s="22"/>
      <c r="AF53" s="21"/>
      <c r="AG53" s="5" t="s">
        <v>51</v>
      </c>
      <c r="AH53" s="21"/>
      <c r="AI53" s="22"/>
      <c r="AJ53" s="21"/>
      <c r="AK53" s="5" t="s">
        <v>51</v>
      </c>
      <c r="AL53" s="21"/>
      <c r="AM53" s="22"/>
      <c r="AN53" s="21"/>
      <c r="AO53" s="5" t="s">
        <v>51</v>
      </c>
      <c r="AP53" s="21"/>
      <c r="AQ53" s="22"/>
      <c r="AR53" s="21"/>
      <c r="AS53" s="5" t="s">
        <v>51</v>
      </c>
      <c r="AT53" s="21"/>
      <c r="AU53" s="22"/>
      <c r="AV53" s="21"/>
      <c r="AW53" s="5" t="s">
        <v>51</v>
      </c>
      <c r="AX53" s="21"/>
      <c r="AY53" s="22"/>
      <c r="AZ53" s="21"/>
      <c r="BA53" s="5" t="s">
        <v>51</v>
      </c>
      <c r="BB53" s="21"/>
      <c r="BC53" s="22"/>
      <c r="BD53" s="21"/>
      <c r="BE53" s="5" t="s">
        <v>51</v>
      </c>
      <c r="BF53" s="21"/>
      <c r="BG53" s="22"/>
      <c r="BH53" s="21"/>
      <c r="BI53" s="5" t="s">
        <v>51</v>
      </c>
      <c r="BJ53" s="21"/>
      <c r="BK53" s="22"/>
      <c r="BL53" s="21"/>
      <c r="BM53" s="5" t="s">
        <v>51</v>
      </c>
      <c r="BN53" s="21"/>
      <c r="BO53" s="22"/>
      <c r="BP53" s="21"/>
      <c r="BQ53" s="5" t="s">
        <v>51</v>
      </c>
      <c r="BR53" s="21"/>
      <c r="BS53" s="22"/>
      <c r="BT53" s="21"/>
    </row>
    <row r="54" spans="1:72" x14ac:dyDescent="0.25">
      <c r="A54" s="5">
        <v>1</v>
      </c>
      <c r="B54" s="21"/>
      <c r="C54" s="21"/>
      <c r="D54" s="22"/>
      <c r="E54" s="5">
        <v>1</v>
      </c>
      <c r="F54" s="21"/>
      <c r="G54" s="21"/>
      <c r="H54" s="22"/>
      <c r="I54" s="5">
        <v>1</v>
      </c>
      <c r="J54" s="21"/>
      <c r="K54" s="21"/>
      <c r="L54" s="22"/>
      <c r="M54" s="5">
        <v>1</v>
      </c>
      <c r="N54" s="21"/>
      <c r="O54" s="22"/>
      <c r="P54" s="22"/>
      <c r="Q54" s="5">
        <v>1</v>
      </c>
      <c r="R54" s="21"/>
      <c r="S54" s="22"/>
      <c r="T54" s="22"/>
      <c r="U54" s="5">
        <v>1</v>
      </c>
      <c r="V54" s="21"/>
      <c r="W54" s="22"/>
      <c r="X54" s="22"/>
      <c r="Y54" s="5">
        <v>1</v>
      </c>
      <c r="Z54" s="21"/>
      <c r="AA54" s="22"/>
      <c r="AB54" s="22"/>
      <c r="AC54" s="5">
        <v>1</v>
      </c>
      <c r="AD54" s="21"/>
      <c r="AE54" s="22"/>
      <c r="AF54" s="22"/>
      <c r="AG54" s="5">
        <v>1</v>
      </c>
      <c r="AH54" s="21"/>
      <c r="AI54" s="22"/>
      <c r="AJ54" s="22"/>
      <c r="AK54" s="5">
        <v>1</v>
      </c>
      <c r="AL54" s="21"/>
      <c r="AM54" s="22"/>
      <c r="AN54" s="22"/>
      <c r="AO54" s="5">
        <v>1</v>
      </c>
      <c r="AP54" s="21"/>
      <c r="AQ54" s="22"/>
      <c r="AR54" s="22"/>
      <c r="AS54" s="5">
        <v>1</v>
      </c>
      <c r="AT54" s="21"/>
      <c r="AU54" s="22"/>
      <c r="AV54" s="22"/>
      <c r="AW54" s="5">
        <v>1</v>
      </c>
      <c r="AX54" s="21"/>
      <c r="AY54" s="22"/>
      <c r="AZ54" s="22"/>
      <c r="BA54" s="5">
        <v>1</v>
      </c>
      <c r="BB54" s="21"/>
      <c r="BC54" s="22"/>
      <c r="BD54" s="22"/>
      <c r="BE54" s="5">
        <v>1</v>
      </c>
      <c r="BF54" s="21"/>
      <c r="BG54" s="22"/>
      <c r="BH54" s="22"/>
      <c r="BI54" s="5">
        <v>1</v>
      </c>
      <c r="BJ54" s="21"/>
      <c r="BK54" s="22"/>
      <c r="BL54" s="22"/>
      <c r="BM54" s="5">
        <v>1</v>
      </c>
      <c r="BN54" s="21"/>
      <c r="BO54" s="22"/>
      <c r="BP54" s="22"/>
      <c r="BQ54" s="5">
        <v>1</v>
      </c>
      <c r="BR54" s="21"/>
      <c r="BS54" s="22"/>
      <c r="BT54" s="22"/>
    </row>
    <row r="55" spans="1:72" x14ac:dyDescent="0.25">
      <c r="A55" s="5">
        <v>2</v>
      </c>
      <c r="B55" s="21"/>
      <c r="C55" s="21"/>
      <c r="D55" s="22"/>
      <c r="E55" s="5">
        <v>2</v>
      </c>
      <c r="F55" s="21"/>
      <c r="G55" s="21"/>
      <c r="H55" s="22"/>
      <c r="I55" s="5">
        <v>2</v>
      </c>
      <c r="J55" s="21"/>
      <c r="K55" s="21"/>
      <c r="L55" s="22"/>
      <c r="M55" s="5">
        <v>2</v>
      </c>
      <c r="N55" s="21"/>
      <c r="O55" s="22"/>
      <c r="P55" s="22"/>
      <c r="Q55" s="5">
        <v>2</v>
      </c>
      <c r="R55" s="21"/>
      <c r="S55" s="22"/>
      <c r="T55" s="22"/>
      <c r="U55" s="5">
        <v>2</v>
      </c>
      <c r="V55" s="21"/>
      <c r="W55" s="22"/>
      <c r="X55" s="22"/>
      <c r="Y55" s="5">
        <v>2</v>
      </c>
      <c r="Z55" s="21"/>
      <c r="AA55" s="22"/>
      <c r="AB55" s="22"/>
      <c r="AC55" s="5">
        <v>2</v>
      </c>
      <c r="AD55" s="21"/>
      <c r="AE55" s="22"/>
      <c r="AF55" s="22"/>
      <c r="AG55" s="5">
        <v>2</v>
      </c>
      <c r="AH55" s="21"/>
      <c r="AI55" s="22"/>
      <c r="AJ55" s="22"/>
      <c r="AK55" s="5">
        <v>2</v>
      </c>
      <c r="AL55" s="21"/>
      <c r="AM55" s="22"/>
      <c r="AN55" s="22"/>
      <c r="AO55" s="5">
        <v>2</v>
      </c>
      <c r="AP55" s="21"/>
      <c r="AQ55" s="22"/>
      <c r="AR55" s="22"/>
      <c r="AS55" s="5">
        <v>2</v>
      </c>
      <c r="AT55" s="21"/>
      <c r="AU55" s="22"/>
      <c r="AV55" s="22"/>
      <c r="AW55" s="5">
        <v>2</v>
      </c>
      <c r="AX55" s="21"/>
      <c r="AY55" s="22"/>
      <c r="AZ55" s="22"/>
      <c r="BA55" s="5">
        <v>2</v>
      </c>
      <c r="BB55" s="21"/>
      <c r="BC55" s="22"/>
      <c r="BD55" s="22"/>
      <c r="BE55" s="5">
        <v>2</v>
      </c>
      <c r="BF55" s="21"/>
      <c r="BG55" s="22"/>
      <c r="BH55" s="22"/>
      <c r="BI55" s="5">
        <v>2</v>
      </c>
      <c r="BJ55" s="21"/>
      <c r="BK55" s="22"/>
      <c r="BL55" s="22"/>
      <c r="BM55" s="5">
        <v>2</v>
      </c>
      <c r="BN55" s="21"/>
      <c r="BO55" s="22"/>
      <c r="BP55" s="22"/>
      <c r="BQ55" s="5">
        <v>2</v>
      </c>
      <c r="BR55" s="21"/>
      <c r="BS55" s="22"/>
      <c r="BT55" s="22"/>
    </row>
    <row r="56" spans="1:72" x14ac:dyDescent="0.25">
      <c r="A56" s="5">
        <v>3</v>
      </c>
      <c r="B56" s="21"/>
      <c r="C56" s="21"/>
      <c r="D56" s="22"/>
      <c r="E56" s="5">
        <v>3</v>
      </c>
      <c r="F56" s="21"/>
      <c r="G56" s="21"/>
      <c r="H56" s="22"/>
      <c r="I56" s="5">
        <v>3</v>
      </c>
      <c r="J56" s="21"/>
      <c r="K56" s="21"/>
      <c r="L56" s="22"/>
      <c r="M56" s="5">
        <v>3</v>
      </c>
      <c r="N56" s="21"/>
      <c r="O56" s="22"/>
      <c r="P56" s="22"/>
      <c r="Q56" s="5">
        <v>3</v>
      </c>
      <c r="R56" s="21"/>
      <c r="S56" s="22"/>
      <c r="T56" s="22"/>
      <c r="U56" s="5">
        <v>3</v>
      </c>
      <c r="V56" s="21"/>
      <c r="W56" s="22"/>
      <c r="X56" s="22"/>
      <c r="Y56" s="5">
        <v>3</v>
      </c>
      <c r="Z56" s="21"/>
      <c r="AA56" s="22"/>
      <c r="AB56" s="22"/>
      <c r="AC56" s="5">
        <v>3</v>
      </c>
      <c r="AD56" s="21"/>
      <c r="AE56" s="22"/>
      <c r="AF56" s="22"/>
      <c r="AG56" s="5">
        <v>3</v>
      </c>
      <c r="AH56" s="21"/>
      <c r="AI56" s="22"/>
      <c r="AJ56" s="22"/>
      <c r="AK56" s="5">
        <v>3</v>
      </c>
      <c r="AL56" s="21"/>
      <c r="AM56" s="22"/>
      <c r="AN56" s="22"/>
      <c r="AO56" s="5">
        <v>3</v>
      </c>
      <c r="AP56" s="21"/>
      <c r="AQ56" s="22"/>
      <c r="AR56" s="22"/>
      <c r="AS56" s="5">
        <v>3</v>
      </c>
      <c r="AT56" s="21"/>
      <c r="AU56" s="22"/>
      <c r="AV56" s="22"/>
      <c r="AW56" s="5">
        <v>3</v>
      </c>
      <c r="AX56" s="21"/>
      <c r="AY56" s="22"/>
      <c r="AZ56" s="22"/>
      <c r="BA56" s="5">
        <v>3</v>
      </c>
      <c r="BB56" s="21"/>
      <c r="BC56" s="22"/>
      <c r="BD56" s="22"/>
      <c r="BE56" s="5">
        <v>3</v>
      </c>
      <c r="BF56" s="21"/>
      <c r="BG56" s="22"/>
      <c r="BH56" s="22"/>
      <c r="BI56" s="5">
        <v>3</v>
      </c>
      <c r="BJ56" s="21"/>
      <c r="BK56" s="22"/>
      <c r="BL56" s="22"/>
      <c r="BM56" s="5">
        <v>3</v>
      </c>
      <c r="BN56" s="21"/>
      <c r="BO56" s="22"/>
      <c r="BP56" s="22"/>
      <c r="BQ56" s="5">
        <v>3</v>
      </c>
      <c r="BR56" s="21"/>
      <c r="BS56" s="22"/>
      <c r="BT56" s="22"/>
    </row>
    <row r="57" spans="1:72" x14ac:dyDescent="0.25">
      <c r="A57" s="5">
        <v>4</v>
      </c>
      <c r="B57" s="21"/>
      <c r="C57" s="22"/>
      <c r="D57" s="22"/>
      <c r="E57" s="5">
        <v>4</v>
      </c>
      <c r="F57" s="21"/>
      <c r="G57" s="22"/>
      <c r="H57" s="22"/>
      <c r="I57" s="5">
        <v>4</v>
      </c>
      <c r="J57" s="21"/>
      <c r="K57" s="22"/>
      <c r="L57" s="22"/>
      <c r="M57" s="5">
        <v>4</v>
      </c>
      <c r="N57" s="21"/>
      <c r="O57" s="22"/>
      <c r="P57" s="22"/>
      <c r="Q57" s="5">
        <v>4</v>
      </c>
      <c r="R57" s="21"/>
      <c r="S57" s="22"/>
      <c r="T57" s="22"/>
      <c r="U57" s="5">
        <v>4</v>
      </c>
      <c r="V57" s="21"/>
      <c r="W57" s="22"/>
      <c r="X57" s="22"/>
      <c r="Y57" s="5">
        <v>4</v>
      </c>
      <c r="Z57" s="21"/>
      <c r="AA57" s="22"/>
      <c r="AB57" s="22"/>
      <c r="AC57" s="5">
        <v>4</v>
      </c>
      <c r="AD57" s="21"/>
      <c r="AE57" s="22"/>
      <c r="AF57" s="22"/>
      <c r="AG57" s="5">
        <v>4</v>
      </c>
      <c r="AH57" s="21"/>
      <c r="AI57" s="22"/>
      <c r="AJ57" s="22"/>
      <c r="AK57" s="5">
        <v>4</v>
      </c>
      <c r="AL57" s="21"/>
      <c r="AM57" s="22"/>
      <c r="AN57" s="22"/>
      <c r="AO57" s="5">
        <v>4</v>
      </c>
      <c r="AP57" s="21"/>
      <c r="AQ57" s="22"/>
      <c r="AR57" s="22"/>
      <c r="AS57" s="5">
        <v>4</v>
      </c>
      <c r="AT57" s="21"/>
      <c r="AU57" s="22"/>
      <c r="AV57" s="22"/>
      <c r="AW57" s="5">
        <v>4</v>
      </c>
      <c r="AX57" s="21"/>
      <c r="AY57" s="22"/>
      <c r="AZ57" s="22"/>
      <c r="BA57" s="5">
        <v>4</v>
      </c>
      <c r="BB57" s="21"/>
      <c r="BC57" s="22"/>
      <c r="BD57" s="22"/>
      <c r="BE57" s="5">
        <v>4</v>
      </c>
      <c r="BF57" s="21"/>
      <c r="BG57" s="22"/>
      <c r="BH57" s="22"/>
      <c r="BI57" s="5">
        <v>4</v>
      </c>
      <c r="BJ57" s="21"/>
      <c r="BK57" s="22"/>
      <c r="BL57" s="22"/>
      <c r="BM57" s="5">
        <v>4</v>
      </c>
      <c r="BN57" s="21"/>
      <c r="BO57" s="22"/>
      <c r="BP57" s="22"/>
      <c r="BQ57" s="5">
        <v>4</v>
      </c>
      <c r="BR57" s="21"/>
      <c r="BS57" s="22"/>
      <c r="BT57" s="22"/>
    </row>
    <row r="58" spans="1:72" x14ac:dyDescent="0.25">
      <c r="A58" s="5">
        <v>5</v>
      </c>
      <c r="B58" s="23"/>
      <c r="C58" s="21"/>
      <c r="D58" s="22"/>
      <c r="E58" s="5">
        <v>5</v>
      </c>
      <c r="F58" s="23"/>
      <c r="G58" s="21"/>
      <c r="H58" s="22"/>
      <c r="I58" s="5">
        <v>5</v>
      </c>
      <c r="J58" s="23"/>
      <c r="K58" s="21"/>
      <c r="L58" s="22"/>
      <c r="M58" s="5">
        <v>5</v>
      </c>
      <c r="N58" s="23"/>
      <c r="O58" s="22"/>
      <c r="P58" s="22"/>
      <c r="Q58" s="5">
        <v>5</v>
      </c>
      <c r="R58" s="23"/>
      <c r="S58" s="22"/>
      <c r="T58" s="22"/>
      <c r="U58" s="5">
        <v>5</v>
      </c>
      <c r="V58" s="23"/>
      <c r="W58" s="22"/>
      <c r="X58" s="22"/>
      <c r="Y58" s="5">
        <v>5</v>
      </c>
      <c r="Z58" s="23"/>
      <c r="AA58" s="22"/>
      <c r="AB58" s="22"/>
      <c r="AC58" s="5">
        <v>5</v>
      </c>
      <c r="AD58" s="23"/>
      <c r="AE58" s="22"/>
      <c r="AF58" s="22"/>
      <c r="AG58" s="5">
        <v>5</v>
      </c>
      <c r="AH58" s="23"/>
      <c r="AI58" s="22"/>
      <c r="AJ58" s="22"/>
      <c r="AK58" s="5">
        <v>5</v>
      </c>
      <c r="AL58" s="23"/>
      <c r="AM58" s="22"/>
      <c r="AN58" s="22"/>
      <c r="AO58" s="5">
        <v>5</v>
      </c>
      <c r="AP58" s="23"/>
      <c r="AQ58" s="22"/>
      <c r="AR58" s="22"/>
      <c r="AS58" s="5">
        <v>5</v>
      </c>
      <c r="AT58" s="23"/>
      <c r="AU58" s="22"/>
      <c r="AV58" s="22"/>
      <c r="AW58" s="5">
        <v>5</v>
      </c>
      <c r="AX58" s="23"/>
      <c r="AY58" s="22"/>
      <c r="AZ58" s="22"/>
      <c r="BA58" s="5">
        <v>5</v>
      </c>
      <c r="BB58" s="23"/>
      <c r="BC58" s="22"/>
      <c r="BD58" s="22"/>
      <c r="BE58" s="5">
        <v>5</v>
      </c>
      <c r="BF58" s="23"/>
      <c r="BG58" s="22"/>
      <c r="BH58" s="22"/>
      <c r="BI58" s="5">
        <v>5</v>
      </c>
      <c r="BJ58" s="23"/>
      <c r="BK58" s="22"/>
      <c r="BL58" s="22"/>
      <c r="BM58" s="5">
        <v>5</v>
      </c>
      <c r="BN58" s="23"/>
      <c r="BO58" s="22"/>
      <c r="BP58" s="22"/>
      <c r="BQ58" s="5">
        <v>5</v>
      </c>
      <c r="BR58" s="23"/>
      <c r="BS58" s="22"/>
      <c r="BT58" s="22"/>
    </row>
    <row r="59" spans="1:72" x14ac:dyDescent="0.25">
      <c r="A59" s="5">
        <v>6</v>
      </c>
      <c r="B59" s="21"/>
      <c r="C59" s="21"/>
      <c r="D59" s="22"/>
      <c r="E59" s="5">
        <v>6</v>
      </c>
      <c r="F59" s="21"/>
      <c r="G59" s="21"/>
      <c r="H59" s="22"/>
      <c r="I59" s="5">
        <v>6</v>
      </c>
      <c r="J59" s="21"/>
      <c r="K59" s="22"/>
      <c r="L59" s="22"/>
      <c r="M59" s="5">
        <v>6</v>
      </c>
      <c r="N59" s="21"/>
      <c r="O59" s="22"/>
      <c r="P59" s="22"/>
      <c r="Q59" s="5">
        <v>6</v>
      </c>
      <c r="R59" s="21"/>
      <c r="S59" s="22"/>
      <c r="T59" s="22"/>
      <c r="U59" s="5">
        <v>6</v>
      </c>
      <c r="V59" s="21"/>
      <c r="W59" s="22"/>
      <c r="X59" s="22"/>
      <c r="Y59" s="5">
        <v>6</v>
      </c>
      <c r="Z59" s="21"/>
      <c r="AA59" s="22"/>
      <c r="AB59" s="22"/>
      <c r="AC59" s="5">
        <v>6</v>
      </c>
      <c r="AD59" s="21"/>
      <c r="AE59" s="22"/>
      <c r="AF59" s="22"/>
      <c r="AG59" s="5">
        <v>6</v>
      </c>
      <c r="AH59" s="21"/>
      <c r="AI59" s="22"/>
      <c r="AJ59" s="22"/>
      <c r="AK59" s="5">
        <v>6</v>
      </c>
      <c r="AL59" s="21"/>
      <c r="AM59" s="22"/>
      <c r="AN59" s="22"/>
      <c r="AO59" s="5">
        <v>6</v>
      </c>
      <c r="AP59" s="21"/>
      <c r="AQ59" s="22"/>
      <c r="AR59" s="22"/>
      <c r="AS59" s="5">
        <v>6</v>
      </c>
      <c r="AT59" s="21"/>
      <c r="AU59" s="22"/>
      <c r="AV59" s="22"/>
      <c r="AW59" s="5">
        <v>6</v>
      </c>
      <c r="AX59" s="21"/>
      <c r="AY59" s="22"/>
      <c r="AZ59" s="22"/>
      <c r="BA59" s="5">
        <v>6</v>
      </c>
      <c r="BB59" s="21"/>
      <c r="BC59" s="22"/>
      <c r="BD59" s="22"/>
      <c r="BE59" s="5">
        <v>6</v>
      </c>
      <c r="BF59" s="21"/>
      <c r="BG59" s="22"/>
      <c r="BH59" s="22"/>
      <c r="BI59" s="5">
        <v>6</v>
      </c>
      <c r="BJ59" s="21"/>
      <c r="BK59" s="22"/>
      <c r="BL59" s="22"/>
      <c r="BM59" s="5">
        <v>6</v>
      </c>
      <c r="BN59" s="21"/>
      <c r="BO59" s="22"/>
      <c r="BP59" s="22"/>
      <c r="BQ59" s="5">
        <v>6</v>
      </c>
      <c r="BR59" s="21"/>
      <c r="BS59" s="22"/>
      <c r="BT59" s="22"/>
    </row>
    <row r="60" spans="1:72" x14ac:dyDescent="0.25">
      <c r="A60" s="5">
        <v>7</v>
      </c>
      <c r="B60" s="21"/>
      <c r="C60" s="21"/>
      <c r="D60" s="22"/>
      <c r="E60" s="5">
        <v>7</v>
      </c>
      <c r="F60" s="21"/>
      <c r="G60" s="21"/>
      <c r="H60" s="22"/>
      <c r="I60" s="5">
        <v>7</v>
      </c>
      <c r="J60" s="21"/>
      <c r="K60" s="21"/>
      <c r="L60" s="22"/>
      <c r="M60" s="5">
        <v>7</v>
      </c>
      <c r="N60" s="21"/>
      <c r="O60" s="22"/>
      <c r="P60" s="22"/>
      <c r="Q60" s="5">
        <v>7</v>
      </c>
      <c r="R60" s="21"/>
      <c r="S60" s="22"/>
      <c r="T60" s="22"/>
      <c r="U60" s="5">
        <v>7</v>
      </c>
      <c r="V60" s="21"/>
      <c r="W60" s="22"/>
      <c r="X60" s="22"/>
      <c r="Y60" s="5">
        <v>7</v>
      </c>
      <c r="Z60" s="21"/>
      <c r="AA60" s="22"/>
      <c r="AB60" s="22"/>
      <c r="AC60" s="5">
        <v>7</v>
      </c>
      <c r="AD60" s="21"/>
      <c r="AE60" s="22"/>
      <c r="AF60" s="22"/>
      <c r="AG60" s="5">
        <v>7</v>
      </c>
      <c r="AH60" s="21"/>
      <c r="AI60" s="22"/>
      <c r="AJ60" s="22"/>
      <c r="AK60" s="5">
        <v>7</v>
      </c>
      <c r="AL60" s="21"/>
      <c r="AM60" s="22"/>
      <c r="AN60" s="22"/>
      <c r="AO60" s="5">
        <v>7</v>
      </c>
      <c r="AP60" s="21"/>
      <c r="AQ60" s="22"/>
      <c r="AR60" s="22"/>
      <c r="AS60" s="5">
        <v>7</v>
      </c>
      <c r="AT60" s="21"/>
      <c r="AU60" s="22"/>
      <c r="AV60" s="22"/>
      <c r="AW60" s="5">
        <v>7</v>
      </c>
      <c r="AX60" s="21"/>
      <c r="AY60" s="22"/>
      <c r="AZ60" s="22"/>
      <c r="BA60" s="5">
        <v>7</v>
      </c>
      <c r="BB60" s="21"/>
      <c r="BC60" s="22"/>
      <c r="BD60" s="22"/>
      <c r="BE60" s="5">
        <v>7</v>
      </c>
      <c r="BF60" s="21"/>
      <c r="BG60" s="22"/>
      <c r="BH60" s="22"/>
      <c r="BI60" s="5">
        <v>7</v>
      </c>
      <c r="BJ60" s="21"/>
      <c r="BK60" s="22"/>
      <c r="BL60" s="22"/>
      <c r="BM60" s="5">
        <v>7</v>
      </c>
      <c r="BN60" s="21"/>
      <c r="BO60" s="22"/>
      <c r="BP60" s="22"/>
      <c r="BQ60" s="5">
        <v>7</v>
      </c>
      <c r="BR60" s="21"/>
      <c r="BS60" s="22"/>
      <c r="BT60" s="22"/>
    </row>
    <row r="61" spans="1:72" x14ac:dyDescent="0.25">
      <c r="A61" s="5">
        <v>8</v>
      </c>
      <c r="B61" s="21"/>
      <c r="C61" s="21"/>
      <c r="D61" s="22"/>
      <c r="E61" s="5">
        <v>8</v>
      </c>
      <c r="F61" s="21"/>
      <c r="G61" s="21"/>
      <c r="H61" s="22"/>
      <c r="I61" s="5">
        <v>8</v>
      </c>
      <c r="J61" s="21"/>
      <c r="K61" s="21"/>
      <c r="L61" s="22"/>
      <c r="M61" s="5">
        <v>8</v>
      </c>
      <c r="N61" s="21"/>
      <c r="O61" s="22"/>
      <c r="P61" s="22"/>
      <c r="Q61" s="5">
        <v>8</v>
      </c>
      <c r="R61" s="21"/>
      <c r="S61" s="22"/>
      <c r="T61" s="22"/>
      <c r="U61" s="5">
        <v>8</v>
      </c>
      <c r="V61" s="21"/>
      <c r="W61" s="22"/>
      <c r="X61" s="22"/>
      <c r="Y61" s="5">
        <v>8</v>
      </c>
      <c r="Z61" s="21"/>
      <c r="AA61" s="22"/>
      <c r="AB61" s="22"/>
      <c r="AC61" s="5">
        <v>8</v>
      </c>
      <c r="AD61" s="21"/>
      <c r="AE61" s="22"/>
      <c r="AF61" s="22"/>
      <c r="AG61" s="5">
        <v>8</v>
      </c>
      <c r="AH61" s="21"/>
      <c r="AI61" s="22"/>
      <c r="AJ61" s="22"/>
      <c r="AK61" s="5">
        <v>8</v>
      </c>
      <c r="AL61" s="21"/>
      <c r="AM61" s="22"/>
      <c r="AN61" s="22"/>
      <c r="AO61" s="5">
        <v>8</v>
      </c>
      <c r="AP61" s="21"/>
      <c r="AQ61" s="22"/>
      <c r="AR61" s="22"/>
      <c r="AS61" s="5">
        <v>8</v>
      </c>
      <c r="AT61" s="21"/>
      <c r="AU61" s="22"/>
      <c r="AV61" s="22"/>
      <c r="AW61" s="5">
        <v>8</v>
      </c>
      <c r="AX61" s="21"/>
      <c r="AY61" s="22"/>
      <c r="AZ61" s="22"/>
      <c r="BA61" s="5">
        <v>8</v>
      </c>
      <c r="BB61" s="21"/>
      <c r="BC61" s="22"/>
      <c r="BD61" s="22"/>
      <c r="BE61" s="5">
        <v>8</v>
      </c>
      <c r="BF61" s="21"/>
      <c r="BG61" s="22"/>
      <c r="BH61" s="22"/>
      <c r="BI61" s="5">
        <v>8</v>
      </c>
      <c r="BJ61" s="21"/>
      <c r="BK61" s="22"/>
      <c r="BL61" s="22"/>
      <c r="BM61" s="5">
        <v>8</v>
      </c>
      <c r="BN61" s="21"/>
      <c r="BO61" s="22"/>
      <c r="BP61" s="22"/>
      <c r="BQ61" s="5">
        <v>8</v>
      </c>
      <c r="BR61" s="21"/>
      <c r="BS61" s="22"/>
      <c r="BT61" s="22"/>
    </row>
    <row r="62" spans="1:72" x14ac:dyDescent="0.25">
      <c r="A62" s="5">
        <v>9</v>
      </c>
      <c r="B62" s="21"/>
      <c r="C62" s="21"/>
      <c r="D62" s="22"/>
      <c r="E62" s="5">
        <v>9</v>
      </c>
      <c r="F62" s="21"/>
      <c r="G62" s="21"/>
      <c r="H62" s="22"/>
      <c r="I62" s="5">
        <v>9</v>
      </c>
      <c r="J62" s="21"/>
      <c r="K62" s="21"/>
      <c r="L62" s="22"/>
      <c r="M62" s="5">
        <v>9</v>
      </c>
      <c r="N62" s="21"/>
      <c r="O62" s="22"/>
      <c r="P62" s="22"/>
      <c r="Q62" s="5">
        <v>9</v>
      </c>
      <c r="R62" s="21"/>
      <c r="S62" s="22"/>
      <c r="T62" s="22"/>
      <c r="U62" s="5">
        <v>9</v>
      </c>
      <c r="V62" s="21"/>
      <c r="W62" s="22"/>
      <c r="X62" s="22"/>
      <c r="Y62" s="5">
        <v>9</v>
      </c>
      <c r="Z62" s="21"/>
      <c r="AA62" s="22"/>
      <c r="AB62" s="22"/>
      <c r="AC62" s="5">
        <v>9</v>
      </c>
      <c r="AD62" s="21"/>
      <c r="AE62" s="22"/>
      <c r="AF62" s="22"/>
      <c r="AG62" s="5">
        <v>9</v>
      </c>
      <c r="AH62" s="21"/>
      <c r="AI62" s="22"/>
      <c r="AJ62" s="22"/>
      <c r="AK62" s="5">
        <v>9</v>
      </c>
      <c r="AL62" s="21"/>
      <c r="AM62" s="22"/>
      <c r="AN62" s="22"/>
      <c r="AO62" s="5">
        <v>9</v>
      </c>
      <c r="AP62" s="21"/>
      <c r="AQ62" s="22"/>
      <c r="AR62" s="22"/>
      <c r="AS62" s="5">
        <v>9</v>
      </c>
      <c r="AT62" s="21"/>
      <c r="AU62" s="22"/>
      <c r="AV62" s="22"/>
      <c r="AW62" s="5">
        <v>9</v>
      </c>
      <c r="AX62" s="21"/>
      <c r="AY62" s="22"/>
      <c r="AZ62" s="22"/>
      <c r="BA62" s="5">
        <v>9</v>
      </c>
      <c r="BB62" s="21"/>
      <c r="BC62" s="22"/>
      <c r="BD62" s="22"/>
      <c r="BE62" s="5">
        <v>9</v>
      </c>
      <c r="BF62" s="21"/>
      <c r="BG62" s="22"/>
      <c r="BH62" s="22"/>
      <c r="BI62" s="5">
        <v>9</v>
      </c>
      <c r="BJ62" s="21"/>
      <c r="BK62" s="22"/>
      <c r="BL62" s="22"/>
      <c r="BM62" s="5">
        <v>9</v>
      </c>
      <c r="BN62" s="21"/>
      <c r="BO62" s="22"/>
      <c r="BP62" s="22"/>
      <c r="BQ62" s="5">
        <v>9</v>
      </c>
      <c r="BR62" s="21"/>
      <c r="BS62" s="22"/>
      <c r="BT62" s="22"/>
    </row>
    <row r="63" spans="1:72" x14ac:dyDescent="0.25">
      <c r="A63" s="5">
        <v>10</v>
      </c>
      <c r="B63" s="21"/>
      <c r="C63" s="21"/>
      <c r="D63" s="22"/>
      <c r="E63" s="5">
        <v>10</v>
      </c>
      <c r="F63" s="21"/>
      <c r="G63" s="21"/>
      <c r="H63" s="22"/>
      <c r="I63" s="5">
        <v>10</v>
      </c>
      <c r="J63" s="21"/>
      <c r="K63" s="21"/>
      <c r="L63" s="22"/>
      <c r="M63" s="5">
        <v>10</v>
      </c>
      <c r="N63" s="21"/>
      <c r="O63" s="22"/>
      <c r="P63" s="22"/>
      <c r="Q63" s="5">
        <v>10</v>
      </c>
      <c r="R63" s="21"/>
      <c r="S63" s="22"/>
      <c r="T63" s="22"/>
      <c r="U63" s="5">
        <v>10</v>
      </c>
      <c r="V63" s="21"/>
      <c r="W63" s="22"/>
      <c r="X63" s="22"/>
      <c r="Y63" s="5">
        <v>10</v>
      </c>
      <c r="Z63" s="21"/>
      <c r="AA63" s="22"/>
      <c r="AB63" s="22"/>
      <c r="AC63" s="5">
        <v>10</v>
      </c>
      <c r="AD63" s="21"/>
      <c r="AE63" s="22"/>
      <c r="AF63" s="22"/>
      <c r="AG63" s="5">
        <v>10</v>
      </c>
      <c r="AH63" s="21"/>
      <c r="AI63" s="22"/>
      <c r="AJ63" s="22"/>
      <c r="AK63" s="5">
        <v>10</v>
      </c>
      <c r="AL63" s="21"/>
      <c r="AM63" s="22"/>
      <c r="AN63" s="22"/>
      <c r="AO63" s="5">
        <v>10</v>
      </c>
      <c r="AP63" s="21"/>
      <c r="AQ63" s="22"/>
      <c r="AR63" s="22"/>
      <c r="AS63" s="5">
        <v>10</v>
      </c>
      <c r="AT63" s="21"/>
      <c r="AU63" s="22"/>
      <c r="AV63" s="22"/>
      <c r="AW63" s="5">
        <v>10</v>
      </c>
      <c r="AX63" s="21"/>
      <c r="AY63" s="22"/>
      <c r="AZ63" s="22"/>
      <c r="BA63" s="5">
        <v>10</v>
      </c>
      <c r="BB63" s="21"/>
      <c r="BC63" s="22"/>
      <c r="BD63" s="22"/>
      <c r="BE63" s="5">
        <v>10</v>
      </c>
      <c r="BF63" s="21"/>
      <c r="BG63" s="22"/>
      <c r="BH63" s="22"/>
      <c r="BI63" s="5">
        <v>10</v>
      </c>
      <c r="BJ63" s="21"/>
      <c r="BK63" s="22"/>
      <c r="BL63" s="22"/>
      <c r="BM63" s="5">
        <v>10</v>
      </c>
      <c r="BN63" s="21"/>
      <c r="BO63" s="22"/>
      <c r="BP63" s="22"/>
      <c r="BQ63" s="5">
        <v>10</v>
      </c>
      <c r="BR63" s="21"/>
      <c r="BS63" s="22"/>
      <c r="BT63" s="22"/>
    </row>
    <row r="64" spans="1:72" x14ac:dyDescent="0.25">
      <c r="A64" s="5">
        <v>11</v>
      </c>
      <c r="B64" s="21"/>
      <c r="C64" s="21"/>
      <c r="D64" s="22"/>
      <c r="E64" s="5">
        <v>11</v>
      </c>
      <c r="F64" s="21"/>
      <c r="G64" s="21"/>
      <c r="H64" s="22"/>
      <c r="I64" s="5">
        <v>11</v>
      </c>
      <c r="J64" s="21"/>
      <c r="K64" s="21"/>
      <c r="L64" s="22"/>
      <c r="M64" s="5">
        <v>11</v>
      </c>
      <c r="N64" s="21"/>
      <c r="O64" s="22"/>
      <c r="P64" s="22"/>
      <c r="Q64" s="5">
        <v>11</v>
      </c>
      <c r="R64" s="21"/>
      <c r="S64" s="22"/>
      <c r="T64" s="22"/>
      <c r="U64" s="5">
        <v>11</v>
      </c>
      <c r="V64" s="21"/>
      <c r="W64" s="22"/>
      <c r="X64" s="22"/>
      <c r="Y64" s="5">
        <v>11</v>
      </c>
      <c r="Z64" s="21"/>
      <c r="AA64" s="22"/>
      <c r="AB64" s="22"/>
      <c r="AC64" s="5">
        <v>11</v>
      </c>
      <c r="AD64" s="21"/>
      <c r="AE64" s="22"/>
      <c r="AF64" s="22"/>
      <c r="AG64" s="5">
        <v>11</v>
      </c>
      <c r="AH64" s="21"/>
      <c r="AI64" s="22"/>
      <c r="AJ64" s="22"/>
      <c r="AK64" s="5">
        <v>11</v>
      </c>
      <c r="AL64" s="21"/>
      <c r="AM64" s="22"/>
      <c r="AN64" s="22"/>
      <c r="AO64" s="5">
        <v>11</v>
      </c>
      <c r="AP64" s="21"/>
      <c r="AQ64" s="22"/>
      <c r="AR64" s="22"/>
      <c r="AS64" s="5">
        <v>11</v>
      </c>
      <c r="AT64" s="21"/>
      <c r="AU64" s="22"/>
      <c r="AV64" s="22"/>
      <c r="AW64" s="5">
        <v>11</v>
      </c>
      <c r="AX64" s="21"/>
      <c r="AY64" s="22"/>
      <c r="AZ64" s="22"/>
      <c r="BA64" s="5">
        <v>11</v>
      </c>
      <c r="BB64" s="21"/>
      <c r="BC64" s="22"/>
      <c r="BD64" s="22"/>
      <c r="BE64" s="5">
        <v>11</v>
      </c>
      <c r="BF64" s="21"/>
      <c r="BG64" s="22"/>
      <c r="BH64" s="22"/>
      <c r="BI64" s="5">
        <v>11</v>
      </c>
      <c r="BJ64" s="21"/>
      <c r="BK64" s="22"/>
      <c r="BL64" s="22"/>
      <c r="BM64" s="5">
        <v>11</v>
      </c>
      <c r="BN64" s="21"/>
      <c r="BO64" s="22"/>
      <c r="BP64" s="22"/>
      <c r="BQ64" s="5">
        <v>11</v>
      </c>
      <c r="BR64" s="21"/>
      <c r="BS64" s="22"/>
      <c r="BT64" s="22"/>
    </row>
    <row r="65" spans="1:72" x14ac:dyDescent="0.25">
      <c r="A65" s="5">
        <v>12</v>
      </c>
      <c r="B65" s="21"/>
      <c r="C65" s="21"/>
      <c r="D65" s="22"/>
      <c r="E65" s="5">
        <v>12</v>
      </c>
      <c r="F65" s="21"/>
      <c r="G65" s="21"/>
      <c r="H65" s="22"/>
      <c r="I65" s="5">
        <v>12</v>
      </c>
      <c r="J65" s="21"/>
      <c r="K65" s="21"/>
      <c r="L65" s="22"/>
      <c r="M65" s="5">
        <v>12</v>
      </c>
      <c r="N65" s="21"/>
      <c r="O65" s="22"/>
      <c r="P65" s="22"/>
      <c r="Q65" s="5">
        <v>12</v>
      </c>
      <c r="R65" s="21"/>
      <c r="S65" s="22"/>
      <c r="T65" s="22"/>
      <c r="U65" s="5">
        <v>12</v>
      </c>
      <c r="V65" s="21"/>
      <c r="W65" s="22"/>
      <c r="X65" s="22"/>
      <c r="Y65" s="5">
        <v>12</v>
      </c>
      <c r="Z65" s="21"/>
      <c r="AA65" s="22"/>
      <c r="AB65" s="22"/>
      <c r="AC65" s="5">
        <v>12</v>
      </c>
      <c r="AD65" s="21"/>
      <c r="AE65" s="22"/>
      <c r="AF65" s="22"/>
      <c r="AG65" s="5">
        <v>12</v>
      </c>
      <c r="AH65" s="21"/>
      <c r="AI65" s="22"/>
      <c r="AJ65" s="22"/>
      <c r="AK65" s="5">
        <v>12</v>
      </c>
      <c r="AL65" s="21"/>
      <c r="AM65" s="22"/>
      <c r="AN65" s="22"/>
      <c r="AO65" s="5">
        <v>12</v>
      </c>
      <c r="AP65" s="21"/>
      <c r="AQ65" s="22"/>
      <c r="AR65" s="22"/>
      <c r="AS65" s="5">
        <v>12</v>
      </c>
      <c r="AT65" s="21"/>
      <c r="AU65" s="22"/>
      <c r="AV65" s="22"/>
      <c r="AW65" s="5">
        <v>12</v>
      </c>
      <c r="AX65" s="21"/>
      <c r="AY65" s="22"/>
      <c r="AZ65" s="22"/>
      <c r="BA65" s="5">
        <v>12</v>
      </c>
      <c r="BB65" s="21"/>
      <c r="BC65" s="22"/>
      <c r="BD65" s="22"/>
      <c r="BE65" s="5">
        <v>12</v>
      </c>
      <c r="BF65" s="21"/>
      <c r="BG65" s="22"/>
      <c r="BH65" s="22"/>
      <c r="BI65" s="5">
        <v>12</v>
      </c>
      <c r="BJ65" s="21"/>
      <c r="BK65" s="22"/>
      <c r="BL65" s="22"/>
      <c r="BM65" s="5">
        <v>12</v>
      </c>
      <c r="BN65" s="21"/>
      <c r="BO65" s="22"/>
      <c r="BP65" s="22"/>
      <c r="BQ65" s="5">
        <v>12</v>
      </c>
      <c r="BR65" s="21"/>
      <c r="BS65" s="22"/>
      <c r="BT65" s="22"/>
    </row>
    <row r="66" spans="1:72" x14ac:dyDescent="0.25">
      <c r="A66" s="5">
        <v>13</v>
      </c>
      <c r="B66" s="21"/>
      <c r="C66" s="21"/>
      <c r="D66" s="22"/>
      <c r="E66" s="5">
        <v>13</v>
      </c>
      <c r="F66" s="21"/>
      <c r="G66" s="21"/>
      <c r="H66" s="22"/>
      <c r="I66" s="5">
        <v>13</v>
      </c>
      <c r="J66" s="21"/>
      <c r="K66" s="21"/>
      <c r="L66" s="22"/>
      <c r="M66" s="5">
        <v>13</v>
      </c>
      <c r="N66" s="21"/>
      <c r="O66" s="22"/>
      <c r="P66" s="22"/>
      <c r="Q66" s="5">
        <v>13</v>
      </c>
      <c r="R66" s="21"/>
      <c r="S66" s="22"/>
      <c r="T66" s="22"/>
      <c r="U66" s="5">
        <v>13</v>
      </c>
      <c r="V66" s="21"/>
      <c r="W66" s="22"/>
      <c r="X66" s="22"/>
      <c r="Y66" s="5">
        <v>13</v>
      </c>
      <c r="Z66" s="21"/>
      <c r="AA66" s="22"/>
      <c r="AB66" s="22"/>
      <c r="AC66" s="5">
        <v>13</v>
      </c>
      <c r="AD66" s="21"/>
      <c r="AE66" s="22"/>
      <c r="AF66" s="22"/>
      <c r="AG66" s="5">
        <v>13</v>
      </c>
      <c r="AH66" s="21"/>
      <c r="AI66" s="22"/>
      <c r="AJ66" s="22"/>
      <c r="AK66" s="5">
        <v>13</v>
      </c>
      <c r="AL66" s="21"/>
      <c r="AM66" s="22"/>
      <c r="AN66" s="22"/>
      <c r="AO66" s="5">
        <v>13</v>
      </c>
      <c r="AP66" s="21"/>
      <c r="AQ66" s="22"/>
      <c r="AR66" s="22"/>
      <c r="AS66" s="5">
        <v>13</v>
      </c>
      <c r="AT66" s="21"/>
      <c r="AU66" s="22"/>
      <c r="AV66" s="22"/>
      <c r="AW66" s="5">
        <v>13</v>
      </c>
      <c r="AX66" s="21"/>
      <c r="AY66" s="22"/>
      <c r="AZ66" s="22"/>
      <c r="BA66" s="5">
        <v>13</v>
      </c>
      <c r="BB66" s="21"/>
      <c r="BC66" s="22"/>
      <c r="BD66" s="22"/>
      <c r="BE66" s="5">
        <v>13</v>
      </c>
      <c r="BF66" s="21"/>
      <c r="BG66" s="22"/>
      <c r="BH66" s="22"/>
      <c r="BI66" s="5">
        <v>13</v>
      </c>
      <c r="BJ66" s="21"/>
      <c r="BK66" s="22"/>
      <c r="BL66" s="22"/>
      <c r="BM66" s="5">
        <v>13</v>
      </c>
      <c r="BN66" s="21"/>
      <c r="BO66" s="22"/>
      <c r="BP66" s="22"/>
      <c r="BQ66" s="5">
        <v>13</v>
      </c>
      <c r="BR66" s="21"/>
      <c r="BS66" s="22"/>
      <c r="BT66" s="22"/>
    </row>
    <row r="67" spans="1:72" x14ac:dyDescent="0.25">
      <c r="A67" s="5">
        <v>14</v>
      </c>
      <c r="B67" s="21"/>
      <c r="C67" s="21"/>
      <c r="D67" s="22"/>
      <c r="E67" s="5">
        <v>14</v>
      </c>
      <c r="F67" s="21"/>
      <c r="G67" s="21"/>
      <c r="H67" s="22"/>
      <c r="I67" s="5">
        <v>14</v>
      </c>
      <c r="J67" s="21"/>
      <c r="K67" s="21"/>
      <c r="L67" s="22"/>
      <c r="M67" s="5">
        <v>14</v>
      </c>
      <c r="N67" s="21"/>
      <c r="O67" s="22"/>
      <c r="P67" s="22"/>
      <c r="Q67" s="5">
        <v>14</v>
      </c>
      <c r="R67" s="21"/>
      <c r="S67" s="22"/>
      <c r="T67" s="22"/>
      <c r="U67" s="5">
        <v>14</v>
      </c>
      <c r="V67" s="21"/>
      <c r="W67" s="22"/>
      <c r="X67" s="22"/>
      <c r="Y67" s="5">
        <v>14</v>
      </c>
      <c r="Z67" s="21"/>
      <c r="AA67" s="22"/>
      <c r="AB67" s="22"/>
      <c r="AC67" s="5">
        <v>14</v>
      </c>
      <c r="AD67" s="21"/>
      <c r="AE67" s="22"/>
      <c r="AF67" s="22"/>
      <c r="AG67" s="5">
        <v>14</v>
      </c>
      <c r="AH67" s="21"/>
      <c r="AI67" s="22"/>
      <c r="AJ67" s="22"/>
      <c r="AK67" s="5">
        <v>14</v>
      </c>
      <c r="AL67" s="21"/>
      <c r="AM67" s="22"/>
      <c r="AN67" s="22"/>
      <c r="AO67" s="5">
        <v>14</v>
      </c>
      <c r="AP67" s="21"/>
      <c r="AQ67" s="22"/>
      <c r="AR67" s="22"/>
      <c r="AS67" s="5">
        <v>14</v>
      </c>
      <c r="AT67" s="21"/>
      <c r="AU67" s="22"/>
      <c r="AV67" s="22"/>
      <c r="AW67" s="5">
        <v>14</v>
      </c>
      <c r="AX67" s="21"/>
      <c r="AY67" s="22"/>
      <c r="AZ67" s="22"/>
      <c r="BA67" s="5">
        <v>14</v>
      </c>
      <c r="BB67" s="21"/>
      <c r="BC67" s="22"/>
      <c r="BD67" s="22"/>
      <c r="BE67" s="5">
        <v>14</v>
      </c>
      <c r="BF67" s="21"/>
      <c r="BG67" s="22"/>
      <c r="BH67" s="22"/>
      <c r="BI67" s="5">
        <v>14</v>
      </c>
      <c r="BJ67" s="21"/>
      <c r="BK67" s="22"/>
      <c r="BL67" s="22"/>
      <c r="BM67" s="5">
        <v>14</v>
      </c>
      <c r="BN67" s="21"/>
      <c r="BO67" s="22"/>
      <c r="BP67" s="22"/>
      <c r="BQ67" s="5">
        <v>14</v>
      </c>
      <c r="BR67" s="21"/>
      <c r="BS67" s="22"/>
      <c r="BT67" s="22"/>
    </row>
    <row r="68" spans="1:72" x14ac:dyDescent="0.25">
      <c r="A68" s="5">
        <v>15</v>
      </c>
      <c r="B68" s="21"/>
      <c r="C68" s="21"/>
      <c r="D68" s="22"/>
      <c r="E68" s="5">
        <v>15</v>
      </c>
      <c r="F68" s="21"/>
      <c r="G68" s="21"/>
      <c r="H68" s="22"/>
      <c r="I68" s="5">
        <v>15</v>
      </c>
      <c r="J68" s="21"/>
      <c r="K68" s="21"/>
      <c r="L68" s="22"/>
      <c r="M68" s="5">
        <v>15</v>
      </c>
      <c r="N68" s="21"/>
      <c r="O68" s="22"/>
      <c r="P68" s="22"/>
      <c r="Q68" s="5">
        <v>15</v>
      </c>
      <c r="R68" s="21"/>
      <c r="S68" s="22"/>
      <c r="T68" s="22"/>
      <c r="U68" s="5">
        <v>15</v>
      </c>
      <c r="V68" s="21"/>
      <c r="W68" s="22"/>
      <c r="X68" s="22"/>
      <c r="Y68" s="5">
        <v>15</v>
      </c>
      <c r="Z68" s="21"/>
      <c r="AA68" s="22"/>
      <c r="AB68" s="22"/>
      <c r="AC68" s="5">
        <v>15</v>
      </c>
      <c r="AD68" s="21"/>
      <c r="AE68" s="22"/>
      <c r="AF68" s="22"/>
      <c r="AG68" s="5">
        <v>15</v>
      </c>
      <c r="AH68" s="21"/>
      <c r="AI68" s="22"/>
      <c r="AJ68" s="22"/>
      <c r="AK68" s="5">
        <v>15</v>
      </c>
      <c r="AL68" s="21"/>
      <c r="AM68" s="22"/>
      <c r="AN68" s="22"/>
      <c r="AO68" s="5">
        <v>15</v>
      </c>
      <c r="AP68" s="21"/>
      <c r="AQ68" s="22"/>
      <c r="AR68" s="22"/>
      <c r="AS68" s="5">
        <v>15</v>
      </c>
      <c r="AT68" s="21"/>
      <c r="AU68" s="22"/>
      <c r="AV68" s="22"/>
      <c r="AW68" s="5">
        <v>15</v>
      </c>
      <c r="AX68" s="21"/>
      <c r="AY68" s="22"/>
      <c r="AZ68" s="22"/>
      <c r="BA68" s="5">
        <v>15</v>
      </c>
      <c r="BB68" s="21"/>
      <c r="BC68" s="22"/>
      <c r="BD68" s="22"/>
      <c r="BE68" s="5">
        <v>15</v>
      </c>
      <c r="BF68" s="21"/>
      <c r="BG68" s="22"/>
      <c r="BH68" s="22"/>
      <c r="BI68" s="5">
        <v>15</v>
      </c>
      <c r="BJ68" s="21"/>
      <c r="BK68" s="22"/>
      <c r="BL68" s="22"/>
      <c r="BM68" s="5">
        <v>15</v>
      </c>
      <c r="BN68" s="21"/>
      <c r="BO68" s="22"/>
      <c r="BP68" s="22"/>
      <c r="BQ68" s="5">
        <v>15</v>
      </c>
      <c r="BR68" s="21"/>
      <c r="BS68" s="22"/>
      <c r="BT68" s="22"/>
    </row>
    <row r="69" spans="1:72" x14ac:dyDescent="0.25">
      <c r="A69" s="5">
        <v>16</v>
      </c>
      <c r="B69" s="21"/>
      <c r="C69" s="21"/>
      <c r="D69" s="22"/>
      <c r="E69" s="5">
        <v>16</v>
      </c>
      <c r="F69" s="21"/>
      <c r="G69" s="21"/>
      <c r="H69" s="22"/>
      <c r="I69" s="5">
        <v>16</v>
      </c>
      <c r="J69" s="21"/>
      <c r="K69" s="21"/>
      <c r="L69" s="22"/>
      <c r="M69" s="5">
        <v>16</v>
      </c>
      <c r="N69" s="21"/>
      <c r="O69" s="22"/>
      <c r="P69" s="22"/>
      <c r="Q69" s="5">
        <v>16</v>
      </c>
      <c r="R69" s="21"/>
      <c r="S69" s="22"/>
      <c r="T69" s="22"/>
      <c r="U69" s="5">
        <v>16</v>
      </c>
      <c r="V69" s="21"/>
      <c r="W69" s="21"/>
      <c r="X69" s="22"/>
      <c r="Y69" s="5">
        <v>16</v>
      </c>
      <c r="Z69" s="21"/>
      <c r="AA69" s="21"/>
      <c r="AB69" s="22"/>
      <c r="AC69" s="5">
        <v>16</v>
      </c>
      <c r="AD69" s="21"/>
      <c r="AE69" s="21"/>
      <c r="AF69" s="22"/>
      <c r="AG69" s="5">
        <v>16</v>
      </c>
      <c r="AH69" s="21"/>
      <c r="AI69" s="21"/>
      <c r="AJ69" s="22"/>
      <c r="AK69" s="5">
        <v>16</v>
      </c>
      <c r="AL69" s="21"/>
      <c r="AM69" s="21"/>
      <c r="AN69" s="22"/>
      <c r="AO69" s="5">
        <v>16</v>
      </c>
      <c r="AP69" s="21"/>
      <c r="AQ69" s="21"/>
      <c r="AR69" s="22"/>
      <c r="AS69" s="5">
        <v>16</v>
      </c>
      <c r="AT69" s="21"/>
      <c r="AU69" s="21"/>
      <c r="AV69" s="22"/>
      <c r="AW69" s="5">
        <v>16</v>
      </c>
      <c r="AX69" s="21"/>
      <c r="AY69" s="21"/>
      <c r="AZ69" s="22"/>
      <c r="BA69" s="5">
        <v>16</v>
      </c>
      <c r="BB69" s="21"/>
      <c r="BC69" s="21"/>
      <c r="BD69" s="22"/>
      <c r="BE69" s="5">
        <v>16</v>
      </c>
      <c r="BF69" s="21"/>
      <c r="BG69" s="21"/>
      <c r="BH69" s="22"/>
      <c r="BI69" s="5">
        <v>16</v>
      </c>
      <c r="BJ69" s="21"/>
      <c r="BK69" s="21"/>
      <c r="BL69" s="22"/>
      <c r="BM69" s="5">
        <v>16</v>
      </c>
      <c r="BN69" s="21"/>
      <c r="BO69" s="21"/>
      <c r="BP69" s="22"/>
      <c r="BQ69" s="5">
        <v>16</v>
      </c>
      <c r="BR69" s="21"/>
      <c r="BS69" s="21"/>
      <c r="BT69" s="22"/>
    </row>
    <row r="70" spans="1:72" x14ac:dyDescent="0.25">
      <c r="A70" s="5">
        <v>17</v>
      </c>
      <c r="B70" s="21"/>
      <c r="C70" s="21"/>
      <c r="D70" s="22"/>
      <c r="E70" s="5">
        <v>17</v>
      </c>
      <c r="F70" s="21"/>
      <c r="G70" s="21"/>
      <c r="H70" s="22"/>
      <c r="I70" s="5">
        <v>17</v>
      </c>
      <c r="J70" s="21"/>
      <c r="K70" s="21"/>
      <c r="L70" s="22"/>
      <c r="M70" s="5">
        <v>17</v>
      </c>
      <c r="N70" s="21"/>
      <c r="O70" s="21"/>
      <c r="P70" s="22"/>
      <c r="Q70" s="5">
        <v>17</v>
      </c>
      <c r="R70" s="21"/>
      <c r="S70" s="21"/>
      <c r="T70" s="22"/>
      <c r="U70" s="5">
        <v>17</v>
      </c>
      <c r="V70" s="21"/>
      <c r="W70" s="21"/>
      <c r="X70" s="22"/>
      <c r="Y70" s="5">
        <v>17</v>
      </c>
      <c r="Z70" s="21"/>
      <c r="AA70" s="21"/>
      <c r="AB70" s="22"/>
      <c r="AC70" s="5">
        <v>17</v>
      </c>
      <c r="AD70" s="21"/>
      <c r="AE70" s="21"/>
      <c r="AF70" s="22"/>
      <c r="AG70" s="5">
        <v>17</v>
      </c>
      <c r="AH70" s="21"/>
      <c r="AI70" s="21"/>
      <c r="AJ70" s="22"/>
      <c r="AK70" s="5">
        <v>17</v>
      </c>
      <c r="AL70" s="21"/>
      <c r="AM70" s="21"/>
      <c r="AN70" s="22"/>
      <c r="AO70" s="5">
        <v>17</v>
      </c>
      <c r="AP70" s="21"/>
      <c r="AQ70" s="21"/>
      <c r="AR70" s="22"/>
      <c r="AS70" s="5">
        <v>17</v>
      </c>
      <c r="AT70" s="21"/>
      <c r="AU70" s="21"/>
      <c r="AV70" s="22"/>
      <c r="AW70" s="5">
        <v>17</v>
      </c>
      <c r="AX70" s="21"/>
      <c r="AY70" s="21"/>
      <c r="AZ70" s="22"/>
      <c r="BA70" s="5">
        <v>17</v>
      </c>
      <c r="BB70" s="21"/>
      <c r="BC70" s="21"/>
      <c r="BD70" s="22"/>
      <c r="BE70" s="5">
        <v>17</v>
      </c>
      <c r="BF70" s="21"/>
      <c r="BG70" s="22"/>
      <c r="BH70" s="22"/>
      <c r="BI70" s="5">
        <v>17</v>
      </c>
      <c r="BJ70" s="21"/>
      <c r="BK70" s="21"/>
      <c r="BL70" s="22"/>
      <c r="BM70" s="5">
        <v>17</v>
      </c>
      <c r="BN70" s="21"/>
      <c r="BO70" s="21"/>
      <c r="BP70" s="22"/>
      <c r="BQ70" s="5">
        <v>17</v>
      </c>
      <c r="BR70" s="21"/>
      <c r="BS70" s="21"/>
      <c r="BT70" s="22"/>
    </row>
    <row r="71" spans="1:72" x14ac:dyDescent="0.25">
      <c r="A71" s="5">
        <v>18</v>
      </c>
      <c r="B71" s="21"/>
      <c r="C71" s="21"/>
      <c r="D71" s="22"/>
      <c r="E71" s="5">
        <v>18</v>
      </c>
      <c r="F71" s="21"/>
      <c r="G71" s="21"/>
      <c r="H71" s="22"/>
      <c r="I71" s="5">
        <v>18</v>
      </c>
      <c r="J71" s="21"/>
      <c r="K71" s="21"/>
      <c r="L71" s="22"/>
      <c r="M71" s="5">
        <v>18</v>
      </c>
      <c r="N71" s="21"/>
      <c r="O71" s="21"/>
      <c r="P71" s="22"/>
      <c r="Q71" s="5">
        <v>18</v>
      </c>
      <c r="R71" s="21"/>
      <c r="S71" s="21"/>
      <c r="T71" s="22"/>
      <c r="U71" s="5">
        <v>18</v>
      </c>
      <c r="V71" s="21"/>
      <c r="W71" s="21"/>
      <c r="X71" s="22"/>
      <c r="Y71" s="5">
        <v>18</v>
      </c>
      <c r="Z71" s="21"/>
      <c r="AA71" s="21"/>
      <c r="AB71" s="22"/>
      <c r="AC71" s="5">
        <v>18</v>
      </c>
      <c r="AD71" s="21"/>
      <c r="AE71" s="21"/>
      <c r="AF71" s="22"/>
      <c r="AG71" s="5">
        <v>18</v>
      </c>
      <c r="AH71" s="21"/>
      <c r="AI71" s="21"/>
      <c r="AJ71" s="22"/>
      <c r="AK71" s="5">
        <v>18</v>
      </c>
      <c r="AL71" s="21"/>
      <c r="AM71" s="21"/>
      <c r="AN71" s="22"/>
      <c r="AO71" s="5">
        <v>18</v>
      </c>
      <c r="AP71" s="21"/>
      <c r="AQ71" s="21"/>
      <c r="AR71" s="22"/>
      <c r="AS71" s="5">
        <v>18</v>
      </c>
      <c r="AT71" s="21"/>
      <c r="AU71" s="21"/>
      <c r="AV71" s="22"/>
      <c r="AW71" s="5">
        <v>18</v>
      </c>
      <c r="AX71" s="21"/>
      <c r="AY71" s="21"/>
      <c r="AZ71" s="22"/>
      <c r="BA71" s="5">
        <v>18</v>
      </c>
      <c r="BB71" s="21"/>
      <c r="BC71" s="21"/>
      <c r="BD71" s="22"/>
      <c r="BE71" s="5">
        <v>18</v>
      </c>
      <c r="BF71" s="21"/>
      <c r="BG71" s="21"/>
      <c r="BH71" s="22"/>
      <c r="BI71" s="5">
        <v>18</v>
      </c>
      <c r="BJ71" s="21"/>
      <c r="BK71" s="21"/>
      <c r="BL71" s="22"/>
      <c r="BM71" s="5">
        <v>18</v>
      </c>
      <c r="BN71" s="21"/>
      <c r="BO71" s="21"/>
      <c r="BP71" s="22"/>
      <c r="BQ71" s="5">
        <v>18</v>
      </c>
      <c r="BR71" s="21"/>
      <c r="BS71" s="21"/>
      <c r="BT71" s="22"/>
    </row>
    <row r="72" spans="1:72" x14ac:dyDescent="0.25">
      <c r="A72" s="5">
        <v>19</v>
      </c>
      <c r="B72" s="21"/>
      <c r="C72" s="21"/>
      <c r="D72" s="22"/>
      <c r="E72" s="5">
        <v>19</v>
      </c>
      <c r="F72" s="21"/>
      <c r="G72" s="21"/>
      <c r="H72" s="22"/>
      <c r="I72" s="5">
        <v>19</v>
      </c>
      <c r="J72" s="21"/>
      <c r="K72" s="21"/>
      <c r="L72" s="22"/>
      <c r="M72" s="5">
        <v>19</v>
      </c>
      <c r="N72" s="21"/>
      <c r="O72" s="21"/>
      <c r="P72" s="22"/>
      <c r="Q72" s="5">
        <v>19</v>
      </c>
      <c r="R72" s="21"/>
      <c r="S72" s="21"/>
      <c r="T72" s="22"/>
      <c r="U72" s="5">
        <v>19</v>
      </c>
      <c r="V72" s="21"/>
      <c r="W72" s="21"/>
      <c r="X72" s="22"/>
      <c r="Y72" s="5">
        <v>19</v>
      </c>
      <c r="Z72" s="21"/>
      <c r="AA72" s="21"/>
      <c r="AB72" s="22"/>
      <c r="AC72" s="5">
        <v>19</v>
      </c>
      <c r="AD72" s="21"/>
      <c r="AE72" s="21"/>
      <c r="AF72" s="22"/>
      <c r="AG72" s="5">
        <v>19</v>
      </c>
      <c r="AH72" s="21"/>
      <c r="AI72" s="21"/>
      <c r="AJ72" s="22"/>
      <c r="AK72" s="5">
        <v>19</v>
      </c>
      <c r="AL72" s="21"/>
      <c r="AM72" s="21"/>
      <c r="AN72" s="22"/>
      <c r="AO72" s="5">
        <v>19</v>
      </c>
      <c r="AP72" s="21"/>
      <c r="AQ72" s="21"/>
      <c r="AR72" s="22"/>
      <c r="AS72" s="5">
        <v>19</v>
      </c>
      <c r="AT72" s="21"/>
      <c r="AU72" s="21"/>
      <c r="AV72" s="22"/>
      <c r="AW72" s="5">
        <v>19</v>
      </c>
      <c r="AX72" s="21"/>
      <c r="AY72" s="21"/>
      <c r="AZ72" s="22"/>
      <c r="BA72" s="5">
        <v>19</v>
      </c>
      <c r="BB72" s="21"/>
      <c r="BC72" s="21"/>
      <c r="BD72" s="22"/>
      <c r="BE72" s="5">
        <v>19</v>
      </c>
      <c r="BF72" s="21"/>
      <c r="BG72" s="21"/>
      <c r="BH72" s="22"/>
      <c r="BI72" s="5">
        <v>19</v>
      </c>
      <c r="BJ72" s="21"/>
      <c r="BK72" s="21"/>
      <c r="BL72" s="22"/>
      <c r="BM72" s="5">
        <v>19</v>
      </c>
      <c r="BN72" s="21"/>
      <c r="BO72" s="21"/>
      <c r="BP72" s="22"/>
      <c r="BQ72" s="5">
        <v>19</v>
      </c>
      <c r="BR72" s="21"/>
      <c r="BS72" s="21"/>
      <c r="BT72" s="22"/>
    </row>
    <row r="73" spans="1:72" x14ac:dyDescent="0.25">
      <c r="A73" s="5">
        <v>20</v>
      </c>
      <c r="B73" s="21"/>
      <c r="C73" s="21"/>
      <c r="D73" s="22"/>
      <c r="E73" s="5">
        <v>20</v>
      </c>
      <c r="F73" s="21"/>
      <c r="G73" s="21"/>
      <c r="H73" s="22"/>
      <c r="I73" s="5">
        <v>20</v>
      </c>
      <c r="J73" s="21"/>
      <c r="K73" s="21"/>
      <c r="L73" s="22"/>
      <c r="M73" s="5">
        <v>20</v>
      </c>
      <c r="N73" s="21"/>
      <c r="O73" s="21"/>
      <c r="P73" s="22"/>
      <c r="Q73" s="5">
        <v>20</v>
      </c>
      <c r="R73" s="21"/>
      <c r="S73" s="21"/>
      <c r="T73" s="22"/>
      <c r="U73" s="5">
        <v>20</v>
      </c>
      <c r="V73" s="21"/>
      <c r="W73" s="21"/>
      <c r="X73" s="22"/>
      <c r="Y73" s="5">
        <v>20</v>
      </c>
      <c r="Z73" s="21"/>
      <c r="AA73" s="21"/>
      <c r="AB73" s="22"/>
      <c r="AC73" s="5">
        <v>20</v>
      </c>
      <c r="AD73" s="21"/>
      <c r="AE73" s="21"/>
      <c r="AF73" s="22"/>
      <c r="AG73" s="5">
        <v>20</v>
      </c>
      <c r="AH73" s="21"/>
      <c r="AI73" s="21"/>
      <c r="AJ73" s="22"/>
      <c r="AK73" s="5">
        <v>20</v>
      </c>
      <c r="AL73" s="21"/>
      <c r="AM73" s="21"/>
      <c r="AN73" s="22"/>
      <c r="AO73" s="5">
        <v>20</v>
      </c>
      <c r="AP73" s="21"/>
      <c r="AQ73" s="21"/>
      <c r="AR73" s="22"/>
      <c r="AS73" s="5">
        <v>20</v>
      </c>
      <c r="AT73" s="21"/>
      <c r="AU73" s="21"/>
      <c r="AV73" s="22"/>
      <c r="AW73" s="5">
        <v>20</v>
      </c>
      <c r="AX73" s="21"/>
      <c r="AY73" s="21"/>
      <c r="AZ73" s="22"/>
      <c r="BA73" s="5">
        <v>20</v>
      </c>
      <c r="BB73" s="21"/>
      <c r="BC73" s="21"/>
      <c r="BD73" s="22"/>
      <c r="BE73" s="5">
        <v>20</v>
      </c>
      <c r="BF73" s="21"/>
      <c r="BG73" s="21"/>
      <c r="BH73" s="22"/>
      <c r="BI73" s="5">
        <v>20</v>
      </c>
      <c r="BJ73" s="21"/>
      <c r="BK73" s="21"/>
      <c r="BL73" s="22"/>
      <c r="BM73" s="5">
        <v>20</v>
      </c>
      <c r="BN73" s="21"/>
      <c r="BO73" s="21"/>
      <c r="BP73" s="22"/>
      <c r="BQ73" s="5">
        <v>20</v>
      </c>
      <c r="BR73" s="21"/>
      <c r="BS73" s="21"/>
      <c r="BT73" s="22"/>
    </row>
    <row r="74" spans="1:72" x14ac:dyDescent="0.25">
      <c r="A74" s="5">
        <v>21</v>
      </c>
      <c r="B74" s="21"/>
      <c r="C74" s="21"/>
      <c r="D74" s="22"/>
      <c r="E74" s="5">
        <v>21</v>
      </c>
      <c r="F74" s="21"/>
      <c r="G74" s="21"/>
      <c r="H74" s="22"/>
      <c r="I74" s="5">
        <v>21</v>
      </c>
      <c r="J74" s="21"/>
      <c r="K74" s="21"/>
      <c r="L74" s="22"/>
      <c r="M74" s="5">
        <v>21</v>
      </c>
      <c r="N74" s="21"/>
      <c r="O74" s="21"/>
      <c r="P74" s="22"/>
      <c r="Q74" s="5">
        <v>21</v>
      </c>
      <c r="R74" s="21"/>
      <c r="S74" s="21"/>
      <c r="T74" s="22"/>
      <c r="U74" s="5">
        <v>21</v>
      </c>
      <c r="V74" s="21"/>
      <c r="W74" s="21"/>
      <c r="X74" s="22"/>
      <c r="Y74" s="5">
        <v>21</v>
      </c>
      <c r="Z74" s="21"/>
      <c r="AA74" s="21"/>
      <c r="AB74" s="22"/>
      <c r="AC74" s="5">
        <v>21</v>
      </c>
      <c r="AD74" s="21"/>
      <c r="AE74" s="21"/>
      <c r="AF74" s="22"/>
      <c r="AG74" s="5">
        <v>21</v>
      </c>
      <c r="AH74" s="21"/>
      <c r="AI74" s="21"/>
      <c r="AJ74" s="22"/>
      <c r="AK74" s="5">
        <v>21</v>
      </c>
      <c r="AL74" s="21"/>
      <c r="AM74" s="21"/>
      <c r="AN74" s="22"/>
      <c r="AO74" s="5">
        <v>21</v>
      </c>
      <c r="AP74" s="21"/>
      <c r="AQ74" s="21"/>
      <c r="AR74" s="22"/>
      <c r="AS74" s="5">
        <v>21</v>
      </c>
      <c r="AT74" s="21"/>
      <c r="AU74" s="21"/>
      <c r="AV74" s="22"/>
      <c r="AW74" s="5">
        <v>21</v>
      </c>
      <c r="AX74" s="21"/>
      <c r="AY74" s="21"/>
      <c r="AZ74" s="22"/>
      <c r="BA74" s="5">
        <v>21</v>
      </c>
      <c r="BB74" s="21"/>
      <c r="BC74" s="21"/>
      <c r="BD74" s="22"/>
      <c r="BE74" s="5">
        <v>21</v>
      </c>
      <c r="BF74" s="21"/>
      <c r="BG74" s="21"/>
      <c r="BH74" s="22"/>
      <c r="BI74" s="5">
        <v>21</v>
      </c>
      <c r="BJ74" s="21"/>
      <c r="BK74" s="21"/>
      <c r="BL74" s="22"/>
      <c r="BM74" s="5">
        <v>21</v>
      </c>
      <c r="BN74" s="21"/>
      <c r="BO74" s="21"/>
      <c r="BP74" s="22"/>
      <c r="BQ74" s="5">
        <v>21</v>
      </c>
      <c r="BR74" s="21"/>
      <c r="BS74" s="21"/>
      <c r="BT74" s="22"/>
    </row>
    <row r="75" spans="1:72" x14ac:dyDescent="0.25">
      <c r="A75" s="5">
        <v>22</v>
      </c>
      <c r="B75" s="21"/>
      <c r="C75" s="21"/>
      <c r="D75" s="22"/>
      <c r="E75" s="5">
        <v>22</v>
      </c>
      <c r="F75" s="21"/>
      <c r="G75" s="21"/>
      <c r="H75" s="22"/>
      <c r="I75" s="5">
        <v>22</v>
      </c>
      <c r="J75" s="21"/>
      <c r="K75" s="21"/>
      <c r="L75" s="22"/>
      <c r="M75" s="5">
        <v>22</v>
      </c>
      <c r="N75" s="21"/>
      <c r="O75" s="21"/>
      <c r="P75" s="22"/>
      <c r="Q75" s="5">
        <v>22</v>
      </c>
      <c r="R75" s="21"/>
      <c r="S75" s="21"/>
      <c r="T75" s="22"/>
      <c r="U75" s="5">
        <v>22</v>
      </c>
      <c r="V75" s="21"/>
      <c r="W75" s="21"/>
      <c r="X75" s="22"/>
      <c r="Y75" s="5">
        <v>22</v>
      </c>
      <c r="Z75" s="21"/>
      <c r="AA75" s="21"/>
      <c r="AB75" s="22"/>
      <c r="AC75" s="5">
        <v>22</v>
      </c>
      <c r="AD75" s="21"/>
      <c r="AE75" s="21"/>
      <c r="AF75" s="22"/>
      <c r="AG75" s="5">
        <v>22</v>
      </c>
      <c r="AH75" s="21"/>
      <c r="AI75" s="21"/>
      <c r="AJ75" s="22"/>
      <c r="AK75" s="5">
        <v>22</v>
      </c>
      <c r="AL75" s="21"/>
      <c r="AM75" s="21"/>
      <c r="AN75" s="22"/>
      <c r="AO75" s="5">
        <v>22</v>
      </c>
      <c r="AP75" s="21"/>
      <c r="AQ75" s="21"/>
      <c r="AR75" s="22"/>
      <c r="AS75" s="5">
        <v>22</v>
      </c>
      <c r="AT75" s="21"/>
      <c r="AU75" s="21"/>
      <c r="AV75" s="22"/>
      <c r="AW75" s="5">
        <v>22</v>
      </c>
      <c r="AX75" s="21"/>
      <c r="AY75" s="21"/>
      <c r="AZ75" s="22"/>
      <c r="BA75" s="5">
        <v>22</v>
      </c>
      <c r="BB75" s="21"/>
      <c r="BC75" s="21"/>
      <c r="BD75" s="22"/>
      <c r="BE75" s="5">
        <v>22</v>
      </c>
      <c r="BF75" s="21"/>
      <c r="BG75" s="21"/>
      <c r="BH75" s="22"/>
      <c r="BI75" s="5">
        <v>22</v>
      </c>
      <c r="BJ75" s="21"/>
      <c r="BK75" s="21"/>
      <c r="BL75" s="22"/>
      <c r="BM75" s="5">
        <v>22</v>
      </c>
      <c r="BN75" s="21"/>
      <c r="BO75" s="21"/>
      <c r="BP75" s="22"/>
      <c r="BQ75" s="5">
        <v>22</v>
      </c>
      <c r="BR75" s="21"/>
      <c r="BS75" s="21"/>
      <c r="BT75" s="22"/>
    </row>
    <row r="76" spans="1:72" x14ac:dyDescent="0.25">
      <c r="A76" s="5">
        <v>23</v>
      </c>
      <c r="B76" s="21"/>
      <c r="C76" s="21"/>
      <c r="D76" s="22"/>
      <c r="E76" s="5">
        <v>23</v>
      </c>
      <c r="F76" s="21"/>
      <c r="G76" s="21"/>
      <c r="H76" s="22"/>
      <c r="I76" s="5">
        <v>23</v>
      </c>
      <c r="J76" s="21"/>
      <c r="K76" s="21"/>
      <c r="L76" s="22"/>
      <c r="M76" s="5">
        <v>23</v>
      </c>
      <c r="N76" s="21"/>
      <c r="O76" s="21"/>
      <c r="P76" s="22"/>
      <c r="Q76" s="5">
        <v>23</v>
      </c>
      <c r="R76" s="21"/>
      <c r="S76" s="21"/>
      <c r="T76" s="22"/>
      <c r="U76" s="5">
        <v>23</v>
      </c>
      <c r="V76" s="21"/>
      <c r="W76" s="21"/>
      <c r="X76" s="22"/>
      <c r="Y76" s="5">
        <v>23</v>
      </c>
      <c r="Z76" s="21"/>
      <c r="AA76" s="21"/>
      <c r="AB76" s="22"/>
      <c r="AC76" s="5">
        <v>23</v>
      </c>
      <c r="AD76" s="21"/>
      <c r="AE76" s="21"/>
      <c r="AF76" s="22"/>
      <c r="AG76" s="5">
        <v>23</v>
      </c>
      <c r="AH76" s="21"/>
      <c r="AI76" s="21"/>
      <c r="AJ76" s="22"/>
      <c r="AK76" s="5">
        <v>23</v>
      </c>
      <c r="AL76" s="21"/>
      <c r="AM76" s="21"/>
      <c r="AN76" s="22"/>
      <c r="AO76" s="5">
        <v>23</v>
      </c>
      <c r="AP76" s="21"/>
      <c r="AQ76" s="21"/>
      <c r="AR76" s="22"/>
      <c r="AS76" s="5">
        <v>23</v>
      </c>
      <c r="AT76" s="21"/>
      <c r="AU76" s="21"/>
      <c r="AV76" s="22"/>
      <c r="AW76" s="5">
        <v>23</v>
      </c>
      <c r="AX76" s="21"/>
      <c r="AY76" s="21"/>
      <c r="AZ76" s="22"/>
      <c r="BA76" s="5">
        <v>23</v>
      </c>
      <c r="BB76" s="21"/>
      <c r="BC76" s="21"/>
      <c r="BD76" s="22"/>
      <c r="BE76" s="5">
        <v>23</v>
      </c>
      <c r="BF76" s="21"/>
      <c r="BG76" s="21"/>
      <c r="BH76" s="22"/>
      <c r="BI76" s="5">
        <v>23</v>
      </c>
      <c r="BJ76" s="21"/>
      <c r="BK76" s="21"/>
      <c r="BL76" s="22"/>
      <c r="BM76" s="5">
        <v>23</v>
      </c>
      <c r="BN76" s="21"/>
      <c r="BO76" s="21"/>
      <c r="BP76" s="22"/>
      <c r="BQ76" s="5">
        <v>23</v>
      </c>
      <c r="BR76" s="21"/>
      <c r="BS76" s="21"/>
      <c r="BT76" s="22"/>
    </row>
    <row r="77" spans="1:72" x14ac:dyDescent="0.25">
      <c r="A77" s="5">
        <v>24</v>
      </c>
      <c r="B77" s="21"/>
      <c r="C77" s="21"/>
      <c r="D77" s="22"/>
      <c r="E77" s="5">
        <v>24</v>
      </c>
      <c r="F77" s="21"/>
      <c r="G77" s="21"/>
      <c r="H77" s="22"/>
      <c r="I77" s="5">
        <v>24</v>
      </c>
      <c r="J77" s="21"/>
      <c r="K77" s="21"/>
      <c r="L77" s="22"/>
      <c r="M77" s="5">
        <v>24</v>
      </c>
      <c r="N77" s="21"/>
      <c r="O77" s="21"/>
      <c r="P77" s="22"/>
      <c r="Q77" s="5">
        <v>24</v>
      </c>
      <c r="R77" s="21"/>
      <c r="S77" s="21"/>
      <c r="T77" s="22"/>
      <c r="U77" s="5">
        <v>24</v>
      </c>
      <c r="V77" s="21"/>
      <c r="W77" s="21"/>
      <c r="X77" s="22"/>
      <c r="Y77" s="5">
        <v>24</v>
      </c>
      <c r="Z77" s="21"/>
      <c r="AA77" s="21"/>
      <c r="AB77" s="22"/>
      <c r="AC77" s="5">
        <v>24</v>
      </c>
      <c r="AD77" s="21"/>
      <c r="AE77" s="21"/>
      <c r="AF77" s="22"/>
      <c r="AG77" s="5">
        <v>24</v>
      </c>
      <c r="AH77" s="21"/>
      <c r="AI77" s="21"/>
      <c r="AJ77" s="22"/>
      <c r="AK77" s="5">
        <v>24</v>
      </c>
      <c r="AL77" s="21"/>
      <c r="AM77" s="21"/>
      <c r="AN77" s="22"/>
      <c r="AO77" s="5">
        <v>24</v>
      </c>
      <c r="AP77" s="21"/>
      <c r="AQ77" s="21"/>
      <c r="AR77" s="22"/>
      <c r="AS77" s="5">
        <v>24</v>
      </c>
      <c r="AT77" s="21"/>
      <c r="AU77" s="21"/>
      <c r="AV77" s="22"/>
      <c r="AW77" s="5">
        <v>24</v>
      </c>
      <c r="AX77" s="21"/>
      <c r="AY77" s="21"/>
      <c r="AZ77" s="22"/>
      <c r="BA77" s="5">
        <v>24</v>
      </c>
      <c r="BB77" s="21"/>
      <c r="BC77" s="21"/>
      <c r="BD77" s="22"/>
      <c r="BE77" s="5">
        <v>24</v>
      </c>
      <c r="BF77" s="21"/>
      <c r="BG77" s="21"/>
      <c r="BH77" s="22"/>
      <c r="BI77" s="5">
        <v>24</v>
      </c>
      <c r="BJ77" s="21"/>
      <c r="BK77" s="21"/>
      <c r="BL77" s="22"/>
      <c r="BM77" s="5">
        <v>24</v>
      </c>
      <c r="BN77" s="21"/>
      <c r="BO77" s="21"/>
      <c r="BP77" s="22"/>
      <c r="BQ77" s="5">
        <v>24</v>
      </c>
      <c r="BR77" s="21"/>
      <c r="BS77" s="21"/>
      <c r="BT77" s="22"/>
    </row>
    <row r="78" spans="1:72" x14ac:dyDescent="0.25">
      <c r="A78" s="5">
        <v>25</v>
      </c>
      <c r="B78" s="21"/>
      <c r="C78" s="21"/>
      <c r="D78" s="21"/>
      <c r="E78" s="5">
        <v>25</v>
      </c>
      <c r="F78" s="21"/>
      <c r="G78" s="21"/>
      <c r="H78" s="21"/>
      <c r="I78" s="5">
        <v>25</v>
      </c>
      <c r="J78" s="21"/>
      <c r="K78" s="21"/>
      <c r="L78" s="21"/>
      <c r="M78" s="5">
        <v>25</v>
      </c>
      <c r="N78" s="21"/>
      <c r="O78" s="21"/>
      <c r="P78" s="21"/>
      <c r="Q78" s="5">
        <v>25</v>
      </c>
      <c r="R78" s="21"/>
      <c r="S78" s="21"/>
      <c r="T78" s="21"/>
      <c r="U78" s="5">
        <v>25</v>
      </c>
      <c r="V78" s="21"/>
      <c r="W78" s="21"/>
      <c r="X78" s="21"/>
      <c r="Y78" s="5">
        <v>25</v>
      </c>
      <c r="Z78" s="21"/>
      <c r="AA78" s="21"/>
      <c r="AB78" s="21"/>
      <c r="AC78" s="5">
        <v>25</v>
      </c>
      <c r="AD78" s="21"/>
      <c r="AE78" s="21"/>
      <c r="AF78" s="21"/>
      <c r="AG78" s="5">
        <v>25</v>
      </c>
      <c r="AH78" s="21"/>
      <c r="AI78" s="21"/>
      <c r="AJ78" s="21"/>
      <c r="AK78" s="5">
        <v>25</v>
      </c>
      <c r="AL78" s="21"/>
      <c r="AM78" s="21"/>
      <c r="AN78" s="21"/>
      <c r="AO78" s="5">
        <v>25</v>
      </c>
      <c r="AP78" s="21"/>
      <c r="AQ78" s="21"/>
      <c r="AR78" s="21"/>
      <c r="AS78" s="5">
        <v>25</v>
      </c>
      <c r="AT78" s="21"/>
      <c r="AU78" s="21"/>
      <c r="AV78" s="21"/>
      <c r="AW78" s="5">
        <v>25</v>
      </c>
      <c r="AX78" s="21"/>
      <c r="AY78" s="21"/>
      <c r="AZ78" s="21"/>
      <c r="BA78" s="5">
        <v>25</v>
      </c>
      <c r="BB78" s="21"/>
      <c r="BC78" s="21"/>
      <c r="BD78" s="21"/>
      <c r="BE78" s="5">
        <v>25</v>
      </c>
      <c r="BF78" s="21"/>
      <c r="BG78" s="21"/>
      <c r="BH78" s="21"/>
      <c r="BI78" s="5">
        <v>25</v>
      </c>
      <c r="BJ78" s="21"/>
      <c r="BK78" s="21"/>
      <c r="BL78" s="21"/>
      <c r="BM78" s="5">
        <v>25</v>
      </c>
      <c r="BN78" s="21"/>
      <c r="BO78" s="21"/>
      <c r="BP78" s="21"/>
      <c r="BQ78" s="5">
        <v>25</v>
      </c>
      <c r="BR78" s="21"/>
      <c r="BS78" s="21"/>
      <c r="BT78" s="21"/>
    </row>
    <row r="79" spans="1:72" x14ac:dyDescent="0.25">
      <c r="A79" s="13"/>
      <c r="B79" s="14" t="s">
        <v>32</v>
      </c>
      <c r="C79" s="15">
        <f>C44-SUM(C45:C78)</f>
        <v>29100</v>
      </c>
      <c r="D79" s="16">
        <f>D44-SUM(D45:D78)</f>
        <v>31500</v>
      </c>
      <c r="E79" s="13"/>
      <c r="F79" s="14" t="s">
        <v>32</v>
      </c>
      <c r="G79" s="15">
        <f>G44-SUM(G45:G78)</f>
        <v>32380</v>
      </c>
      <c r="H79" s="16">
        <f>H44-SUM(H45:H78)</f>
        <v>43000</v>
      </c>
      <c r="I79" s="13"/>
      <c r="J79" s="14" t="s">
        <v>32</v>
      </c>
      <c r="K79" s="15">
        <f>K44-SUM(K45:K78)</f>
        <v>35004</v>
      </c>
      <c r="L79" s="16">
        <f>L44-SUM(L45:L78)</f>
        <v>54500</v>
      </c>
      <c r="M79" s="13"/>
      <c r="N79" s="14" t="s">
        <v>32</v>
      </c>
      <c r="O79" s="15">
        <f>O44-SUM(O45:O78)</f>
        <v>37103</v>
      </c>
      <c r="P79" s="16">
        <f>P44-SUM(P45:P78)</f>
        <v>68000</v>
      </c>
      <c r="Q79" s="13"/>
      <c r="R79" s="14" t="s">
        <v>32</v>
      </c>
      <c r="S79" s="15">
        <f>S44-SUM(S45:S78)</f>
        <v>38782</v>
      </c>
      <c r="T79" s="16">
        <f>T44-SUM(T45:T78)</f>
        <v>79500</v>
      </c>
      <c r="U79" s="13"/>
      <c r="V79" s="14" t="s">
        <v>32</v>
      </c>
      <c r="W79" s="15">
        <f>W44-SUM(W45:W78)</f>
        <v>40126</v>
      </c>
      <c r="X79" s="16">
        <f>X44-SUM(X45:X78)</f>
        <v>91000</v>
      </c>
      <c r="Y79" s="13"/>
      <c r="Z79" s="14" t="s">
        <v>32</v>
      </c>
      <c r="AA79" s="15">
        <f>AA44-SUM(AA45:AA78)</f>
        <v>43766</v>
      </c>
      <c r="AB79" s="16">
        <f>AB44-SUM(AB45:AB78)</f>
        <v>109750</v>
      </c>
      <c r="AC79" s="13"/>
      <c r="AD79" s="14" t="s">
        <v>32</v>
      </c>
      <c r="AE79" s="15">
        <f>AE44-SUM(AE45:AE78)</f>
        <v>44113</v>
      </c>
      <c r="AF79" s="16">
        <f>AF44-SUM(AF45:AF78)</f>
        <v>121250</v>
      </c>
      <c r="AG79" s="13"/>
      <c r="AH79" s="14" t="s">
        <v>32</v>
      </c>
      <c r="AI79" s="15">
        <f>AI44-SUM(AI45:AI78)</f>
        <v>44390</v>
      </c>
      <c r="AJ79" s="16">
        <f>AJ44-SUM(AJ45:AJ78)</f>
        <v>132750</v>
      </c>
      <c r="AK79" s="13"/>
      <c r="AL79" s="14" t="s">
        <v>32</v>
      </c>
      <c r="AM79" s="15">
        <f>AM44-SUM(AM45:AM78)</f>
        <v>44612</v>
      </c>
      <c r="AN79" s="16">
        <f>AN44-SUM(AN45:AN78)</f>
        <v>144250</v>
      </c>
      <c r="AO79" s="13"/>
      <c r="AP79" s="14" t="s">
        <v>32</v>
      </c>
      <c r="AQ79" s="15">
        <f>AQ44-SUM(AQ45:AQ78)</f>
        <v>44790</v>
      </c>
      <c r="AR79" s="16">
        <f>AR44-SUM(AR45:AR78)</f>
        <v>155750</v>
      </c>
      <c r="AS79" s="13"/>
      <c r="AT79" s="14" t="s">
        <v>32</v>
      </c>
      <c r="AU79" s="15">
        <f>AU44-SUM(AU45:AU78)</f>
        <v>44932</v>
      </c>
      <c r="AV79" s="16">
        <f>AV44-SUM(AV45:AV78)</f>
        <v>167250</v>
      </c>
      <c r="AW79" s="13"/>
      <c r="AX79" s="14" t="s">
        <v>32</v>
      </c>
      <c r="AY79" s="15">
        <f>AY44-SUM(AY45:AY78)</f>
        <v>45046</v>
      </c>
      <c r="AZ79" s="16">
        <f>AZ44-SUM(AZ45:AZ78)</f>
        <v>178750</v>
      </c>
      <c r="BA79" s="13"/>
      <c r="BB79" s="14" t="s">
        <v>32</v>
      </c>
      <c r="BC79" s="15">
        <f>BC44-SUM(BC45:BC78)</f>
        <v>45137</v>
      </c>
      <c r="BD79" s="16">
        <f>BD44-SUM(BD45:BD78)</f>
        <v>190250</v>
      </c>
      <c r="BE79" s="13"/>
      <c r="BF79" s="14" t="s">
        <v>32</v>
      </c>
      <c r="BG79" s="15">
        <f>BG44-SUM(BG45:BG78)</f>
        <v>45210</v>
      </c>
      <c r="BH79" s="16">
        <f>BH44-SUM(BH45:BH78)</f>
        <v>201750</v>
      </c>
      <c r="BI79" s="13"/>
      <c r="BJ79" s="14" t="s">
        <v>32</v>
      </c>
      <c r="BK79" s="15">
        <f>BK44-SUM(BK45:BK78)</f>
        <v>45268</v>
      </c>
      <c r="BL79" s="16">
        <f>BL44-SUM(BL45:BL78)</f>
        <v>213250</v>
      </c>
      <c r="BM79" s="13"/>
      <c r="BN79" s="14" t="s">
        <v>32</v>
      </c>
      <c r="BO79" s="15">
        <f>BO44-SUM(BO45:BO78)</f>
        <v>45314</v>
      </c>
      <c r="BP79" s="16">
        <f>BP44-SUM(BP45:BP78)</f>
        <v>224750</v>
      </c>
      <c r="BQ79" s="13"/>
      <c r="BR79" s="14" t="s">
        <v>32</v>
      </c>
      <c r="BS79" s="15">
        <f>BS44-SUM(BS45:BS78)</f>
        <v>45351</v>
      </c>
      <c r="BT79" s="16">
        <f>BT44-SUM(BT45:BT78)</f>
        <v>236250</v>
      </c>
    </row>
    <row r="80" spans="1:72" x14ac:dyDescent="0.25">
      <c r="A80" s="5"/>
      <c r="B80" s="8"/>
      <c r="C80" s="8"/>
      <c r="D80" s="11"/>
      <c r="E80" s="5"/>
      <c r="F80" s="8"/>
      <c r="G80" s="8"/>
      <c r="H80" s="11"/>
      <c r="I80" s="5"/>
      <c r="J80" s="8"/>
      <c r="K80" s="8"/>
      <c r="L80" s="11"/>
      <c r="M80" s="5"/>
      <c r="N80" s="8"/>
      <c r="O80" s="8"/>
      <c r="P80" s="11"/>
      <c r="Q80" s="5"/>
      <c r="R80" s="8"/>
      <c r="S80" s="8"/>
      <c r="T80" s="11"/>
      <c r="U80" s="5"/>
      <c r="V80" s="8"/>
      <c r="W80" s="8"/>
      <c r="X80" s="11"/>
      <c r="Y80" s="5"/>
      <c r="Z80" s="8"/>
      <c r="AA80" s="8"/>
      <c r="AB80" s="11"/>
      <c r="AC80" s="5"/>
      <c r="AD80" s="8"/>
      <c r="AE80" s="8"/>
      <c r="AF80" s="11"/>
      <c r="AG80" s="5"/>
      <c r="AH80" s="8"/>
      <c r="AI80" s="8"/>
      <c r="AJ80" s="11"/>
      <c r="AK80" s="5"/>
      <c r="AL80" s="8"/>
      <c r="AM80" s="8"/>
      <c r="AN80" s="11"/>
      <c r="AO80" s="5"/>
      <c r="AP80" s="8"/>
      <c r="AQ80" s="8"/>
      <c r="AR80" s="11"/>
      <c r="AS80" s="5"/>
      <c r="AT80" s="8"/>
      <c r="AU80" s="8"/>
      <c r="AV80" s="11"/>
      <c r="AW80" s="5"/>
      <c r="AX80" s="8"/>
      <c r="AY80" s="8"/>
      <c r="AZ80" s="11"/>
      <c r="BA80" s="5"/>
      <c r="BB80" s="8"/>
      <c r="BC80" s="8"/>
      <c r="BD80" s="11"/>
      <c r="BE80" s="5"/>
      <c r="BF80" s="8"/>
      <c r="BG80" s="8"/>
      <c r="BH80" s="11"/>
      <c r="BI80" s="5"/>
      <c r="BJ80" s="8"/>
      <c r="BK80" s="8"/>
      <c r="BL80" s="11"/>
      <c r="BM80" s="5"/>
      <c r="BN80" s="8"/>
      <c r="BO80" s="8"/>
      <c r="BP80" s="11"/>
      <c r="BQ80" s="5"/>
      <c r="BR80" s="8"/>
      <c r="BS80" s="8"/>
      <c r="BT80" s="11"/>
    </row>
    <row r="81" spans="1:72" x14ac:dyDescent="0.25">
      <c r="A81" s="5"/>
      <c r="B81" s="8" t="s">
        <v>5</v>
      </c>
      <c r="C81" s="9">
        <f>ROUND(C79*20%,0)</f>
        <v>5820</v>
      </c>
      <c r="D81" s="11"/>
      <c r="E81" s="5"/>
      <c r="F81" s="8" t="s">
        <v>5</v>
      </c>
      <c r="G81" s="9">
        <f>ROUND(G79*20%,0)</f>
        <v>6476</v>
      </c>
      <c r="H81" s="11"/>
      <c r="I81" s="5"/>
      <c r="J81" s="8" t="s">
        <v>5</v>
      </c>
      <c r="K81" s="9">
        <f>ROUND(K79*20%,0)</f>
        <v>7001</v>
      </c>
      <c r="L81" s="11"/>
      <c r="M81" s="5"/>
      <c r="N81" s="8" t="s">
        <v>5</v>
      </c>
      <c r="O81" s="9">
        <f>ROUND(O79*20%,0)</f>
        <v>7421</v>
      </c>
      <c r="P81" s="11"/>
      <c r="Q81" s="5"/>
      <c r="R81" s="8" t="s">
        <v>5</v>
      </c>
      <c r="S81" s="9">
        <f>ROUND(S79*20%,0)</f>
        <v>7756</v>
      </c>
      <c r="T81" s="11"/>
      <c r="U81" s="5"/>
      <c r="V81" s="8" t="s">
        <v>5</v>
      </c>
      <c r="W81" s="9">
        <f>ROUND(W79*20%,0)</f>
        <v>8025</v>
      </c>
      <c r="X81" s="11"/>
      <c r="Y81" s="5"/>
      <c r="Z81" s="8" t="s">
        <v>5</v>
      </c>
      <c r="AA81" s="9">
        <f>ROUND(AA79*20%,0)</f>
        <v>8753</v>
      </c>
      <c r="AB81" s="11"/>
      <c r="AC81" s="5"/>
      <c r="AD81" s="8" t="s">
        <v>5</v>
      </c>
      <c r="AE81" s="9">
        <f>ROUND(AE79*20%,0)</f>
        <v>8823</v>
      </c>
      <c r="AF81" s="11"/>
      <c r="AG81" s="5"/>
      <c r="AH81" s="8" t="s">
        <v>5</v>
      </c>
      <c r="AI81" s="9">
        <f>ROUND(AI79*20%,0)</f>
        <v>8878</v>
      </c>
      <c r="AJ81" s="11"/>
      <c r="AK81" s="5"/>
      <c r="AL81" s="8" t="s">
        <v>5</v>
      </c>
      <c r="AM81" s="9">
        <f>ROUND(AM79*20%,0)</f>
        <v>8922</v>
      </c>
      <c r="AN81" s="11"/>
      <c r="AO81" s="5"/>
      <c r="AP81" s="8" t="s">
        <v>5</v>
      </c>
      <c r="AQ81" s="9">
        <f>ROUND(AQ79*20%,0)</f>
        <v>8958</v>
      </c>
      <c r="AR81" s="11"/>
      <c r="AS81" s="5"/>
      <c r="AT81" s="8" t="s">
        <v>5</v>
      </c>
      <c r="AU81" s="9">
        <f>ROUND(AU79*20%,0)</f>
        <v>8986</v>
      </c>
      <c r="AV81" s="11"/>
      <c r="AW81" s="5"/>
      <c r="AX81" s="8" t="s">
        <v>5</v>
      </c>
      <c r="AY81" s="9">
        <f>ROUND(AY79*20%,0)</f>
        <v>9009</v>
      </c>
      <c r="AZ81" s="11"/>
      <c r="BA81" s="5"/>
      <c r="BB81" s="8" t="s">
        <v>5</v>
      </c>
      <c r="BC81" s="9">
        <f>ROUND(BC79*20%,0)</f>
        <v>9027</v>
      </c>
      <c r="BD81" s="11"/>
      <c r="BE81" s="5"/>
      <c r="BF81" s="8" t="s">
        <v>5</v>
      </c>
      <c r="BG81" s="9">
        <f>ROUND(BG79*20%,0)</f>
        <v>9042</v>
      </c>
      <c r="BH81" s="11"/>
      <c r="BI81" s="5"/>
      <c r="BJ81" s="8" t="s">
        <v>5</v>
      </c>
      <c r="BK81" s="9">
        <f>ROUND(BK79*20%,0)</f>
        <v>9054</v>
      </c>
      <c r="BL81" s="11"/>
      <c r="BM81" s="5"/>
      <c r="BN81" s="8" t="s">
        <v>5</v>
      </c>
      <c r="BO81" s="9">
        <f>ROUND(BO79*20%,0)</f>
        <v>9063</v>
      </c>
      <c r="BP81" s="11"/>
      <c r="BQ81" s="5"/>
      <c r="BR81" s="8" t="s">
        <v>5</v>
      </c>
      <c r="BS81" s="9">
        <f>ROUND(BS79*20%,0)</f>
        <v>9070</v>
      </c>
      <c r="BT81" s="11"/>
    </row>
    <row r="82" spans="1:72" x14ac:dyDescent="0.25">
      <c r="A82" s="5"/>
      <c r="B82" s="8"/>
      <c r="C82" s="8"/>
      <c r="D82" s="11"/>
      <c r="E82" s="5"/>
      <c r="F82" s="8"/>
      <c r="G82" s="8"/>
      <c r="H82" s="11"/>
      <c r="I82" s="5"/>
      <c r="J82" s="8"/>
      <c r="K82" s="8"/>
      <c r="L82" s="11"/>
      <c r="M82" s="5"/>
      <c r="N82" s="8"/>
      <c r="O82" s="8"/>
      <c r="P82" s="11"/>
      <c r="Q82" s="5"/>
      <c r="R82" s="8"/>
      <c r="S82" s="8"/>
      <c r="T82" s="11"/>
      <c r="U82" s="5"/>
      <c r="V82" s="8"/>
      <c r="W82" s="8"/>
      <c r="X82" s="11"/>
      <c r="Y82" s="5"/>
      <c r="Z82" s="8"/>
      <c r="AA82" s="8"/>
      <c r="AB82" s="11"/>
      <c r="AC82" s="5"/>
      <c r="AD82" s="8"/>
      <c r="AE82" s="8"/>
      <c r="AF82" s="11"/>
      <c r="AG82" s="5"/>
      <c r="AH82" s="8"/>
      <c r="AI82" s="8"/>
      <c r="AJ82" s="11"/>
      <c r="AK82" s="5"/>
      <c r="AL82" s="8"/>
      <c r="AM82" s="8"/>
      <c r="AN82" s="11"/>
      <c r="AO82" s="5"/>
      <c r="AP82" s="8"/>
      <c r="AQ82" s="8"/>
      <c r="AR82" s="11"/>
      <c r="AS82" s="5"/>
      <c r="AT82" s="8"/>
      <c r="AU82" s="8"/>
      <c r="AV82" s="11"/>
      <c r="AW82" s="5"/>
      <c r="AX82" s="8"/>
      <c r="AY82" s="8"/>
      <c r="AZ82" s="11"/>
      <c r="BA82" s="5"/>
      <c r="BB82" s="8"/>
      <c r="BC82" s="8"/>
      <c r="BD82" s="11"/>
      <c r="BE82" s="5"/>
      <c r="BF82" s="8"/>
      <c r="BG82" s="8"/>
      <c r="BH82" s="11"/>
      <c r="BI82" s="5"/>
      <c r="BJ82" s="8"/>
      <c r="BK82" s="8"/>
      <c r="BL82" s="11"/>
      <c r="BM82" s="5"/>
      <c r="BN82" s="8"/>
      <c r="BO82" s="8"/>
      <c r="BP82" s="11"/>
      <c r="BQ82" s="5"/>
      <c r="BR82" s="8"/>
      <c r="BS82" s="8"/>
      <c r="BT82" s="11"/>
    </row>
    <row r="83" spans="1:72" x14ac:dyDescent="0.25">
      <c r="A83" s="17"/>
      <c r="B83" s="18" t="s">
        <v>4</v>
      </c>
      <c r="C83" s="19">
        <f>C79-C81</f>
        <v>23280</v>
      </c>
      <c r="D83" s="20">
        <f>D79-D81</f>
        <v>31500</v>
      </c>
      <c r="E83" s="17"/>
      <c r="F83" s="18" t="s">
        <v>4</v>
      </c>
      <c r="G83" s="19">
        <f>G79-G81</f>
        <v>25904</v>
      </c>
      <c r="H83" s="20">
        <f>H79-H81</f>
        <v>43000</v>
      </c>
      <c r="I83" s="17"/>
      <c r="J83" s="18" t="s">
        <v>4</v>
      </c>
      <c r="K83" s="19">
        <f>K79-K81</f>
        <v>28003</v>
      </c>
      <c r="L83" s="20">
        <f>L79-L81</f>
        <v>54500</v>
      </c>
      <c r="M83" s="17"/>
      <c r="N83" s="18" t="s">
        <v>4</v>
      </c>
      <c r="O83" s="19">
        <f>O79-O81</f>
        <v>29682</v>
      </c>
      <c r="P83" s="20">
        <f>P79-P81</f>
        <v>68000</v>
      </c>
      <c r="Q83" s="17"/>
      <c r="R83" s="18" t="s">
        <v>4</v>
      </c>
      <c r="S83" s="19">
        <f>S79-S81</f>
        <v>31026</v>
      </c>
      <c r="T83" s="20">
        <f>T79-T81</f>
        <v>79500</v>
      </c>
      <c r="U83" s="17"/>
      <c r="V83" s="18" t="s">
        <v>4</v>
      </c>
      <c r="W83" s="19">
        <f>W79-W81</f>
        <v>32101</v>
      </c>
      <c r="X83" s="20">
        <f>X79-X81</f>
        <v>91000</v>
      </c>
      <c r="Y83" s="17"/>
      <c r="Z83" s="18" t="s">
        <v>4</v>
      </c>
      <c r="AA83" s="19">
        <f>AA79-AA81</f>
        <v>35013</v>
      </c>
      <c r="AB83" s="20">
        <f>AB79-AB81</f>
        <v>109750</v>
      </c>
      <c r="AC83" s="17"/>
      <c r="AD83" s="18" t="s">
        <v>4</v>
      </c>
      <c r="AE83" s="19">
        <f>AE79-AE81</f>
        <v>35290</v>
      </c>
      <c r="AF83" s="20">
        <f>AF79-AF81</f>
        <v>121250</v>
      </c>
      <c r="AG83" s="17"/>
      <c r="AH83" s="18" t="s">
        <v>4</v>
      </c>
      <c r="AI83" s="19">
        <f>AI79-AI81</f>
        <v>35512</v>
      </c>
      <c r="AJ83" s="20">
        <f>AJ79-AJ81</f>
        <v>132750</v>
      </c>
      <c r="AK83" s="17"/>
      <c r="AL83" s="18" t="s">
        <v>4</v>
      </c>
      <c r="AM83" s="19">
        <f>AM79-AM81</f>
        <v>35690</v>
      </c>
      <c r="AN83" s="20">
        <f>AN79-AN81</f>
        <v>144250</v>
      </c>
      <c r="AO83" s="17"/>
      <c r="AP83" s="18" t="s">
        <v>4</v>
      </c>
      <c r="AQ83" s="19">
        <f>AQ79-AQ81</f>
        <v>35832</v>
      </c>
      <c r="AR83" s="20">
        <f>AR79-AR81</f>
        <v>155750</v>
      </c>
      <c r="AS83" s="17"/>
      <c r="AT83" s="18" t="s">
        <v>4</v>
      </c>
      <c r="AU83" s="19">
        <f>AU79-AU81</f>
        <v>35946</v>
      </c>
      <c r="AV83" s="20">
        <f>AV79-AV81</f>
        <v>167250</v>
      </c>
      <c r="AW83" s="17"/>
      <c r="AX83" s="18" t="s">
        <v>4</v>
      </c>
      <c r="AY83" s="19">
        <f>AY79-AY81</f>
        <v>36037</v>
      </c>
      <c r="AZ83" s="20">
        <f>AZ79-AZ81</f>
        <v>178750</v>
      </c>
      <c r="BA83" s="17"/>
      <c r="BB83" s="18" t="s">
        <v>4</v>
      </c>
      <c r="BC83" s="19">
        <f>BC79-BC81</f>
        <v>36110</v>
      </c>
      <c r="BD83" s="20">
        <f>BD79-BD81</f>
        <v>190250</v>
      </c>
      <c r="BE83" s="17"/>
      <c r="BF83" s="18" t="s">
        <v>4</v>
      </c>
      <c r="BG83" s="19">
        <f>BG79-BG81</f>
        <v>36168</v>
      </c>
      <c r="BH83" s="20">
        <f>BH79-BH81</f>
        <v>201750</v>
      </c>
      <c r="BI83" s="17"/>
      <c r="BJ83" s="18" t="s">
        <v>4</v>
      </c>
      <c r="BK83" s="19">
        <f>BK79-BK81</f>
        <v>36214</v>
      </c>
      <c r="BL83" s="20">
        <f>BL79-BL81</f>
        <v>213250</v>
      </c>
      <c r="BM83" s="17"/>
      <c r="BN83" s="18" t="s">
        <v>4</v>
      </c>
      <c r="BO83" s="19">
        <f>BO79-BO81</f>
        <v>36251</v>
      </c>
      <c r="BP83" s="20">
        <f>BP79-BP81</f>
        <v>224750</v>
      </c>
      <c r="BQ83" s="17"/>
      <c r="BR83" s="18" t="s">
        <v>4</v>
      </c>
      <c r="BS83" s="19">
        <f>BS79-BS81</f>
        <v>36281</v>
      </c>
      <c r="BT83" s="20">
        <f>BT79-BT81</f>
        <v>236250</v>
      </c>
    </row>
    <row r="85" spans="1:72" x14ac:dyDescent="0.25">
      <c r="B85" t="s">
        <v>62</v>
      </c>
    </row>
    <row r="86" spans="1:72" x14ac:dyDescent="0.25">
      <c r="B86" s="32" t="s">
        <v>59</v>
      </c>
      <c r="C86" s="33" t="s">
        <v>11</v>
      </c>
      <c r="D86" s="33" t="s">
        <v>10</v>
      </c>
    </row>
    <row r="87" spans="1:72" x14ac:dyDescent="0.25">
      <c r="B87" s="21" t="s">
        <v>61</v>
      </c>
      <c r="C87" s="22">
        <v>1700</v>
      </c>
      <c r="D87" s="22">
        <v>1700</v>
      </c>
    </row>
    <row r="88" spans="1:72" x14ac:dyDescent="0.25">
      <c r="B88" s="21" t="s">
        <v>60</v>
      </c>
      <c r="C88" s="22">
        <v>1700</v>
      </c>
      <c r="D88" s="22">
        <v>1700</v>
      </c>
    </row>
    <row r="89" spans="1:72" x14ac:dyDescent="0.25">
      <c r="B89" s="21"/>
      <c r="C89" s="22"/>
      <c r="D89" s="22"/>
    </row>
    <row r="90" spans="1:72" x14ac:dyDescent="0.25">
      <c r="B90" s="21"/>
      <c r="C90" s="22"/>
      <c r="D90" s="22"/>
    </row>
  </sheetData>
  <dataValidations count="1">
    <dataValidation type="list" allowBlank="1" showInputMessage="1" showErrorMessage="1" sqref="B39:B41 F39:F41 J39:J41 N39:N41 R39:R41 V39:V41 Z39:Z41 AD39:AD41 AH39:AH41 AL39:AL41 AP39:AP41 AT39:AT41 AX39:AX41 BB39:BB41 BF39:BF41 BJ39:BJ41 BN39:BN41 BR39:BR41">
      <formula1>$B$87:$B$90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J677"/>
  <sheetViews>
    <sheetView workbookViewId="0">
      <pane ySplit="1" topLeftCell="A521" activePane="bottomLeft" state="frozen"/>
      <selection activeCell="B28" sqref="B28"/>
      <selection pane="bottomLeft" activeCell="B28" sqref="B28"/>
    </sheetView>
  </sheetViews>
  <sheetFormatPr defaultRowHeight="15" x14ac:dyDescent="0.25"/>
  <cols>
    <col min="1" max="2" width="9.140625" style="1"/>
    <col min="3" max="3" width="11" style="1" bestFit="1" customWidth="1"/>
    <col min="4" max="4" width="9.85546875" style="1" bestFit="1" customWidth="1"/>
    <col min="5" max="5" width="10.140625" style="1" bestFit="1" customWidth="1"/>
    <col min="6" max="10" width="9.140625" style="1"/>
  </cols>
  <sheetData>
    <row r="1" spans="1:10" x14ac:dyDescent="0.25">
      <c r="A1" s="34" t="s">
        <v>256</v>
      </c>
      <c r="B1" s="34" t="s">
        <v>257</v>
      </c>
      <c r="C1" s="34" t="s">
        <v>258</v>
      </c>
      <c r="D1" s="34" t="s">
        <v>259</v>
      </c>
      <c r="E1" s="34" t="s">
        <v>260</v>
      </c>
      <c r="F1" s="34" t="s">
        <v>261</v>
      </c>
      <c r="G1" s="34" t="s">
        <v>262</v>
      </c>
      <c r="H1" s="34" t="s">
        <v>263</v>
      </c>
      <c r="I1" s="34" t="s">
        <v>264</v>
      </c>
      <c r="J1" s="34" t="s">
        <v>265</v>
      </c>
    </row>
    <row r="2" spans="1:10" x14ac:dyDescent="0.25">
      <c r="A2" s="1" t="s">
        <v>266</v>
      </c>
    </row>
    <row r="3" spans="1:10" x14ac:dyDescent="0.25">
      <c r="A3" s="1" t="s">
        <v>267</v>
      </c>
    </row>
    <row r="4" spans="1:10" x14ac:dyDescent="0.25">
      <c r="A4" s="1" t="s">
        <v>268</v>
      </c>
    </row>
    <row r="5" spans="1:10" x14ac:dyDescent="0.25">
      <c r="A5" s="1" t="s">
        <v>269</v>
      </c>
    </row>
    <row r="6" spans="1:10" x14ac:dyDescent="0.25">
      <c r="A6" s="1" t="s">
        <v>270</v>
      </c>
    </row>
    <row r="7" spans="1:10" x14ac:dyDescent="0.25">
      <c r="A7" s="1" t="s">
        <v>271</v>
      </c>
    </row>
    <row r="8" spans="1:10" x14ac:dyDescent="0.25">
      <c r="A8" s="1" t="s">
        <v>272</v>
      </c>
    </row>
    <row r="9" spans="1:10" x14ac:dyDescent="0.25">
      <c r="A9" s="1" t="s">
        <v>273</v>
      </c>
    </row>
    <row r="10" spans="1:10" x14ac:dyDescent="0.25">
      <c r="A10" s="1" t="s">
        <v>274</v>
      </c>
    </row>
    <row r="11" spans="1:10" x14ac:dyDescent="0.25">
      <c r="A11" s="1" t="s">
        <v>275</v>
      </c>
    </row>
    <row r="12" spans="1:10" x14ac:dyDescent="0.25">
      <c r="A12" s="1" t="s">
        <v>276</v>
      </c>
    </row>
    <row r="13" spans="1:10" x14ac:dyDescent="0.25">
      <c r="A13" s="1" t="s">
        <v>277</v>
      </c>
    </row>
    <row r="14" spans="1:10" x14ac:dyDescent="0.25">
      <c r="A14" s="1" t="s">
        <v>278</v>
      </c>
    </row>
    <row r="15" spans="1:10" x14ac:dyDescent="0.25">
      <c r="A15" s="1" t="s">
        <v>37</v>
      </c>
    </row>
    <row r="16" spans="1:10" x14ac:dyDescent="0.25">
      <c r="A16" s="1" t="s">
        <v>279</v>
      </c>
    </row>
    <row r="17" spans="1:1" x14ac:dyDescent="0.25">
      <c r="A17" s="1" t="s">
        <v>280</v>
      </c>
    </row>
    <row r="18" spans="1:1" x14ac:dyDescent="0.25">
      <c r="A18" s="1" t="s">
        <v>281</v>
      </c>
    </row>
    <row r="19" spans="1:1" x14ac:dyDescent="0.25">
      <c r="A19" s="1" t="s">
        <v>282</v>
      </c>
    </row>
    <row r="20" spans="1:1" x14ac:dyDescent="0.25">
      <c r="A20" s="1" t="s">
        <v>283</v>
      </c>
    </row>
    <row r="21" spans="1:1" x14ac:dyDescent="0.25">
      <c r="A21" s="1" t="s">
        <v>284</v>
      </c>
    </row>
    <row r="22" spans="1:1" x14ac:dyDescent="0.25">
      <c r="A22" s="1" t="s">
        <v>285</v>
      </c>
    </row>
    <row r="23" spans="1:1" x14ac:dyDescent="0.25">
      <c r="A23" s="1" t="s">
        <v>286</v>
      </c>
    </row>
    <row r="24" spans="1:1" x14ac:dyDescent="0.25">
      <c r="A24" s="1" t="s">
        <v>287</v>
      </c>
    </row>
    <row r="25" spans="1:1" x14ac:dyDescent="0.25">
      <c r="A25" s="1" t="s">
        <v>288</v>
      </c>
    </row>
    <row r="26" spans="1:1" x14ac:dyDescent="0.25">
      <c r="A26" s="1" t="s">
        <v>289</v>
      </c>
    </row>
    <row r="27" spans="1:1" x14ac:dyDescent="0.25">
      <c r="A27" s="1" t="s">
        <v>290</v>
      </c>
    </row>
    <row r="28" spans="1:1" x14ac:dyDescent="0.25">
      <c r="A28" s="1" t="s">
        <v>291</v>
      </c>
    </row>
    <row r="29" spans="1:1" x14ac:dyDescent="0.25">
      <c r="A29" s="1" t="s">
        <v>292</v>
      </c>
    </row>
    <row r="30" spans="1:1" x14ac:dyDescent="0.25">
      <c r="A30" s="1" t="s">
        <v>293</v>
      </c>
    </row>
    <row r="31" spans="1:1" x14ac:dyDescent="0.25">
      <c r="A31" s="1" t="s">
        <v>294</v>
      </c>
    </row>
    <row r="32" spans="1:1" x14ac:dyDescent="0.25">
      <c r="A32" s="1" t="s">
        <v>295</v>
      </c>
    </row>
    <row r="33" spans="1:1" x14ac:dyDescent="0.25">
      <c r="A33" s="1" t="s">
        <v>296</v>
      </c>
    </row>
    <row r="34" spans="1:1" x14ac:dyDescent="0.25">
      <c r="A34" s="1" t="s">
        <v>297</v>
      </c>
    </row>
    <row r="35" spans="1:1" x14ac:dyDescent="0.25">
      <c r="A35" s="1" t="s">
        <v>298</v>
      </c>
    </row>
    <row r="36" spans="1:1" x14ac:dyDescent="0.25">
      <c r="A36" s="1" t="s">
        <v>299</v>
      </c>
    </row>
    <row r="37" spans="1:1" x14ac:dyDescent="0.25">
      <c r="A37" s="1" t="s">
        <v>300</v>
      </c>
    </row>
    <row r="38" spans="1:1" x14ac:dyDescent="0.25">
      <c r="A38" s="1" t="s">
        <v>301</v>
      </c>
    </row>
    <row r="39" spans="1:1" x14ac:dyDescent="0.25">
      <c r="A39" s="1" t="s">
        <v>23</v>
      </c>
    </row>
    <row r="40" spans="1:1" x14ac:dyDescent="0.25">
      <c r="A40" s="1" t="s">
        <v>302</v>
      </c>
    </row>
    <row r="41" spans="1:1" x14ac:dyDescent="0.25">
      <c r="A41" s="1" t="s">
        <v>303</v>
      </c>
    </row>
    <row r="42" spans="1:1" x14ac:dyDescent="0.25">
      <c r="A42" s="1" t="s">
        <v>304</v>
      </c>
    </row>
    <row r="43" spans="1:1" x14ac:dyDescent="0.25">
      <c r="A43" s="1" t="s">
        <v>305</v>
      </c>
    </row>
    <row r="44" spans="1:1" x14ac:dyDescent="0.25">
      <c r="A44" s="1" t="s">
        <v>306</v>
      </c>
    </row>
    <row r="45" spans="1:1" x14ac:dyDescent="0.25">
      <c r="A45" s="1" t="s">
        <v>307</v>
      </c>
    </row>
    <row r="46" spans="1:1" x14ac:dyDescent="0.25">
      <c r="A46" s="1" t="s">
        <v>308</v>
      </c>
    </row>
    <row r="47" spans="1:1" x14ac:dyDescent="0.25">
      <c r="A47" s="1" t="s">
        <v>309</v>
      </c>
    </row>
    <row r="48" spans="1:1" x14ac:dyDescent="0.25">
      <c r="A48" s="1" t="s">
        <v>310</v>
      </c>
    </row>
    <row r="49" spans="1:1" x14ac:dyDescent="0.25">
      <c r="A49" s="1" t="s">
        <v>311</v>
      </c>
    </row>
    <row r="50" spans="1:1" x14ac:dyDescent="0.25">
      <c r="A50" s="1" t="s">
        <v>312</v>
      </c>
    </row>
    <row r="51" spans="1:1" x14ac:dyDescent="0.25">
      <c r="A51" s="1" t="s">
        <v>313</v>
      </c>
    </row>
    <row r="52" spans="1:1" x14ac:dyDescent="0.25">
      <c r="A52" s="1" t="s">
        <v>314</v>
      </c>
    </row>
    <row r="53" spans="1:1" x14ac:dyDescent="0.25">
      <c r="A53" s="1" t="s">
        <v>315</v>
      </c>
    </row>
    <row r="54" spans="1:1" x14ac:dyDescent="0.25">
      <c r="A54" s="1" t="s">
        <v>316</v>
      </c>
    </row>
    <row r="55" spans="1:1" x14ac:dyDescent="0.25">
      <c r="A55" s="1" t="s">
        <v>317</v>
      </c>
    </row>
    <row r="56" spans="1:1" x14ac:dyDescent="0.25">
      <c r="A56" s="1" t="s">
        <v>318</v>
      </c>
    </row>
    <row r="57" spans="1:1" x14ac:dyDescent="0.25">
      <c r="A57" s="1" t="s">
        <v>245</v>
      </c>
    </row>
    <row r="58" spans="1:1" x14ac:dyDescent="0.25">
      <c r="A58" s="1" t="s">
        <v>319</v>
      </c>
    </row>
    <row r="59" spans="1:1" x14ac:dyDescent="0.25">
      <c r="A59" s="1" t="s">
        <v>320</v>
      </c>
    </row>
    <row r="60" spans="1:1" x14ac:dyDescent="0.25">
      <c r="A60" s="1" t="s">
        <v>321</v>
      </c>
    </row>
    <row r="61" spans="1:1" x14ac:dyDescent="0.25">
      <c r="A61" s="1" t="s">
        <v>322</v>
      </c>
    </row>
    <row r="62" spans="1:1" x14ac:dyDescent="0.25">
      <c r="A62" s="1" t="s">
        <v>323</v>
      </c>
    </row>
    <row r="63" spans="1:1" x14ac:dyDescent="0.25">
      <c r="A63" s="1" t="s">
        <v>324</v>
      </c>
    </row>
    <row r="64" spans="1:1" x14ac:dyDescent="0.25">
      <c r="A64" s="1" t="s">
        <v>325</v>
      </c>
    </row>
    <row r="65" spans="1:1" x14ac:dyDescent="0.25">
      <c r="A65" s="1" t="s">
        <v>326</v>
      </c>
    </row>
    <row r="66" spans="1:1" x14ac:dyDescent="0.25">
      <c r="A66" s="1" t="s">
        <v>327</v>
      </c>
    </row>
    <row r="67" spans="1:1" x14ac:dyDescent="0.25">
      <c r="A67" s="1" t="s">
        <v>328</v>
      </c>
    </row>
    <row r="68" spans="1:1" x14ac:dyDescent="0.25">
      <c r="A68" s="1" t="s">
        <v>329</v>
      </c>
    </row>
    <row r="69" spans="1:1" x14ac:dyDescent="0.25">
      <c r="A69" s="1" t="s">
        <v>330</v>
      </c>
    </row>
    <row r="70" spans="1:1" x14ac:dyDescent="0.25">
      <c r="A70" s="1" t="s">
        <v>331</v>
      </c>
    </row>
    <row r="71" spans="1:1" x14ac:dyDescent="0.25">
      <c r="A71" s="1" t="s">
        <v>332</v>
      </c>
    </row>
    <row r="72" spans="1:1" x14ac:dyDescent="0.25">
      <c r="A72" s="1" t="s">
        <v>333</v>
      </c>
    </row>
    <row r="73" spans="1:1" x14ac:dyDescent="0.25">
      <c r="A73" s="1" t="s">
        <v>334</v>
      </c>
    </row>
    <row r="74" spans="1:1" x14ac:dyDescent="0.25">
      <c r="A74" s="1" t="s">
        <v>247</v>
      </c>
    </row>
    <row r="75" spans="1:1" x14ac:dyDescent="0.25">
      <c r="A75" s="1" t="s">
        <v>335</v>
      </c>
    </row>
    <row r="76" spans="1:1" x14ac:dyDescent="0.25">
      <c r="A76" s="1" t="s">
        <v>336</v>
      </c>
    </row>
    <row r="77" spans="1:1" x14ac:dyDescent="0.25">
      <c r="A77" s="1" t="s">
        <v>337</v>
      </c>
    </row>
    <row r="78" spans="1:1" x14ac:dyDescent="0.25">
      <c r="A78" s="1" t="s">
        <v>338</v>
      </c>
    </row>
    <row r="79" spans="1:1" x14ac:dyDescent="0.25">
      <c r="A79" s="1" t="s">
        <v>339</v>
      </c>
    </row>
    <row r="80" spans="1:1" x14ac:dyDescent="0.25">
      <c r="A80" s="1" t="s">
        <v>38</v>
      </c>
    </row>
    <row r="81" spans="1:1" x14ac:dyDescent="0.25">
      <c r="A81" s="1" t="s">
        <v>340</v>
      </c>
    </row>
    <row r="82" spans="1:1" x14ac:dyDescent="0.25">
      <c r="A82" s="1" t="s">
        <v>341</v>
      </c>
    </row>
    <row r="83" spans="1:1" x14ac:dyDescent="0.25">
      <c r="A83" s="1" t="s">
        <v>342</v>
      </c>
    </row>
    <row r="84" spans="1:1" x14ac:dyDescent="0.25">
      <c r="A84" s="1" t="s">
        <v>39</v>
      </c>
    </row>
    <row r="85" spans="1:1" x14ac:dyDescent="0.25">
      <c r="A85" s="1" t="s">
        <v>343</v>
      </c>
    </row>
    <row r="86" spans="1:1" x14ac:dyDescent="0.25">
      <c r="A86" s="1" t="s">
        <v>344</v>
      </c>
    </row>
    <row r="87" spans="1:1" x14ac:dyDescent="0.25">
      <c r="A87" s="1" t="s">
        <v>345</v>
      </c>
    </row>
    <row r="88" spans="1:1" x14ac:dyDescent="0.25">
      <c r="A88" s="1" t="s">
        <v>346</v>
      </c>
    </row>
    <row r="89" spans="1:1" x14ac:dyDescent="0.25">
      <c r="A89" s="1" t="s">
        <v>347</v>
      </c>
    </row>
    <row r="90" spans="1:1" x14ac:dyDescent="0.25">
      <c r="A90" s="1" t="s">
        <v>246</v>
      </c>
    </row>
    <row r="91" spans="1:1" x14ac:dyDescent="0.25">
      <c r="A91" s="1" t="s">
        <v>348</v>
      </c>
    </row>
    <row r="92" spans="1:1" x14ac:dyDescent="0.25">
      <c r="A92" s="1" t="s">
        <v>349</v>
      </c>
    </row>
    <row r="93" spans="1:1" x14ac:dyDescent="0.25">
      <c r="A93" s="1" t="s">
        <v>350</v>
      </c>
    </row>
    <row r="94" spans="1:1" x14ac:dyDescent="0.25">
      <c r="A94" s="1" t="s">
        <v>351</v>
      </c>
    </row>
    <row r="95" spans="1:1" x14ac:dyDescent="0.25">
      <c r="A95" s="1" t="s">
        <v>352</v>
      </c>
    </row>
    <row r="96" spans="1:1" x14ac:dyDescent="0.25">
      <c r="A96" s="1" t="s">
        <v>353</v>
      </c>
    </row>
    <row r="97" spans="1:1" x14ac:dyDescent="0.25">
      <c r="A97" s="1" t="s">
        <v>354</v>
      </c>
    </row>
    <row r="98" spans="1:1" x14ac:dyDescent="0.25">
      <c r="A98" s="1" t="s">
        <v>355</v>
      </c>
    </row>
    <row r="99" spans="1:1" x14ac:dyDescent="0.25">
      <c r="A99" s="1" t="s">
        <v>356</v>
      </c>
    </row>
    <row r="100" spans="1:1" x14ac:dyDescent="0.25">
      <c r="A100" s="1" t="s">
        <v>357</v>
      </c>
    </row>
    <row r="101" spans="1:1" x14ac:dyDescent="0.25">
      <c r="A101" s="1" t="s">
        <v>358</v>
      </c>
    </row>
    <row r="102" spans="1:1" x14ac:dyDescent="0.25">
      <c r="A102" s="1" t="s">
        <v>18</v>
      </c>
    </row>
    <row r="103" spans="1:1" x14ac:dyDescent="0.25">
      <c r="A103" s="1" t="s">
        <v>359</v>
      </c>
    </row>
    <row r="104" spans="1:1" x14ac:dyDescent="0.25">
      <c r="A104" s="1" t="s">
        <v>360</v>
      </c>
    </row>
    <row r="105" spans="1:1" x14ac:dyDescent="0.25">
      <c r="A105" s="1" t="s">
        <v>361</v>
      </c>
    </row>
    <row r="106" spans="1:1" x14ac:dyDescent="0.25">
      <c r="A106" s="1" t="s">
        <v>362</v>
      </c>
    </row>
    <row r="107" spans="1:1" x14ac:dyDescent="0.25">
      <c r="A107" s="1" t="s">
        <v>363</v>
      </c>
    </row>
    <row r="108" spans="1:1" x14ac:dyDescent="0.25">
      <c r="A108" s="1" t="s">
        <v>364</v>
      </c>
    </row>
    <row r="109" spans="1:1" x14ac:dyDescent="0.25">
      <c r="A109" s="1" t="s">
        <v>365</v>
      </c>
    </row>
    <row r="110" spans="1:1" x14ac:dyDescent="0.25">
      <c r="A110" s="1" t="s">
        <v>366</v>
      </c>
    </row>
    <row r="111" spans="1:1" x14ac:dyDescent="0.25">
      <c r="A111" s="1" t="s">
        <v>367</v>
      </c>
    </row>
    <row r="112" spans="1:1" x14ac:dyDescent="0.25">
      <c r="A112" s="1" t="s">
        <v>368</v>
      </c>
    </row>
    <row r="113" spans="1:1" x14ac:dyDescent="0.25">
      <c r="A113" s="1" t="s">
        <v>369</v>
      </c>
    </row>
    <row r="114" spans="1:1" x14ac:dyDescent="0.25">
      <c r="A114" s="1" t="s">
        <v>370</v>
      </c>
    </row>
    <row r="115" spans="1:1" x14ac:dyDescent="0.25">
      <c r="A115" s="1" t="s">
        <v>371</v>
      </c>
    </row>
    <row r="116" spans="1:1" x14ac:dyDescent="0.25">
      <c r="A116" s="1" t="s">
        <v>372</v>
      </c>
    </row>
    <row r="117" spans="1:1" x14ac:dyDescent="0.25">
      <c r="A117" s="1" t="s">
        <v>17</v>
      </c>
    </row>
    <row r="118" spans="1:1" x14ac:dyDescent="0.25">
      <c r="A118" s="1" t="s">
        <v>373</v>
      </c>
    </row>
    <row r="119" spans="1:1" x14ac:dyDescent="0.25">
      <c r="A119" s="1" t="s">
        <v>374</v>
      </c>
    </row>
    <row r="120" spans="1:1" x14ac:dyDescent="0.25">
      <c r="A120" s="1" t="s">
        <v>375</v>
      </c>
    </row>
    <row r="121" spans="1:1" x14ac:dyDescent="0.25">
      <c r="A121" s="1" t="s">
        <v>376</v>
      </c>
    </row>
    <row r="122" spans="1:1" x14ac:dyDescent="0.25">
      <c r="A122" s="1" t="s">
        <v>377</v>
      </c>
    </row>
    <row r="123" spans="1:1" x14ac:dyDescent="0.25">
      <c r="A123" s="1" t="s">
        <v>378</v>
      </c>
    </row>
    <row r="124" spans="1:1" x14ac:dyDescent="0.25">
      <c r="A124" s="1" t="s">
        <v>379</v>
      </c>
    </row>
    <row r="125" spans="1:1" x14ac:dyDescent="0.25">
      <c r="A125" s="1" t="s">
        <v>380</v>
      </c>
    </row>
    <row r="126" spans="1:1" x14ac:dyDescent="0.25">
      <c r="A126" s="1" t="s">
        <v>381</v>
      </c>
    </row>
    <row r="127" spans="1:1" x14ac:dyDescent="0.25">
      <c r="A127" s="1" t="s">
        <v>382</v>
      </c>
    </row>
    <row r="128" spans="1:1" x14ac:dyDescent="0.25">
      <c r="A128" s="1" t="s">
        <v>383</v>
      </c>
    </row>
    <row r="129" spans="1:1" x14ac:dyDescent="0.25">
      <c r="A129" s="1" t="s">
        <v>384</v>
      </c>
    </row>
    <row r="130" spans="1:1" x14ac:dyDescent="0.25">
      <c r="A130" s="1" t="s">
        <v>385</v>
      </c>
    </row>
    <row r="131" spans="1:1" x14ac:dyDescent="0.25">
      <c r="A131" s="1" t="s">
        <v>386</v>
      </c>
    </row>
    <row r="132" spans="1:1" x14ac:dyDescent="0.25">
      <c r="A132" s="1" t="s">
        <v>387</v>
      </c>
    </row>
    <row r="133" spans="1:1" x14ac:dyDescent="0.25">
      <c r="A133" s="1" t="s">
        <v>388</v>
      </c>
    </row>
    <row r="134" spans="1:1" x14ac:dyDescent="0.25">
      <c r="A134" s="1" t="s">
        <v>389</v>
      </c>
    </row>
    <row r="135" spans="1:1" x14ac:dyDescent="0.25">
      <c r="A135" s="1" t="s">
        <v>390</v>
      </c>
    </row>
    <row r="136" spans="1:1" x14ac:dyDescent="0.25">
      <c r="A136" s="1" t="s">
        <v>391</v>
      </c>
    </row>
    <row r="137" spans="1:1" x14ac:dyDescent="0.25">
      <c r="A137" s="1" t="s">
        <v>392</v>
      </c>
    </row>
    <row r="138" spans="1:1" x14ac:dyDescent="0.25">
      <c r="A138" s="1" t="s">
        <v>393</v>
      </c>
    </row>
    <row r="139" spans="1:1" x14ac:dyDescent="0.25">
      <c r="A139" s="1" t="s">
        <v>394</v>
      </c>
    </row>
    <row r="140" spans="1:1" x14ac:dyDescent="0.25">
      <c r="A140" s="1" t="s">
        <v>395</v>
      </c>
    </row>
    <row r="141" spans="1:1" x14ac:dyDescent="0.25">
      <c r="A141" s="1" t="s">
        <v>396</v>
      </c>
    </row>
    <row r="142" spans="1:1" x14ac:dyDescent="0.25">
      <c r="A142" s="1" t="s">
        <v>397</v>
      </c>
    </row>
    <row r="143" spans="1:1" x14ac:dyDescent="0.25">
      <c r="A143" s="1" t="s">
        <v>398</v>
      </c>
    </row>
    <row r="144" spans="1:1" x14ac:dyDescent="0.25">
      <c r="A144" s="1" t="s">
        <v>399</v>
      </c>
    </row>
    <row r="145" spans="1:1" x14ac:dyDescent="0.25">
      <c r="A145" s="1" t="s">
        <v>400</v>
      </c>
    </row>
    <row r="146" spans="1:1" x14ac:dyDescent="0.25">
      <c r="A146" s="1" t="s">
        <v>401</v>
      </c>
    </row>
    <row r="147" spans="1:1" x14ac:dyDescent="0.25">
      <c r="A147" s="1" t="s">
        <v>402</v>
      </c>
    </row>
    <row r="148" spans="1:1" x14ac:dyDescent="0.25">
      <c r="A148" s="1" t="s">
        <v>403</v>
      </c>
    </row>
    <row r="149" spans="1:1" x14ac:dyDescent="0.25">
      <c r="A149" s="1" t="s">
        <v>404</v>
      </c>
    </row>
    <row r="150" spans="1:1" x14ac:dyDescent="0.25">
      <c r="A150" s="1" t="s">
        <v>405</v>
      </c>
    </row>
    <row r="151" spans="1:1" x14ac:dyDescent="0.25">
      <c r="A151" s="1" t="s">
        <v>406</v>
      </c>
    </row>
    <row r="152" spans="1:1" x14ac:dyDescent="0.25">
      <c r="A152" s="1" t="s">
        <v>407</v>
      </c>
    </row>
    <row r="153" spans="1:1" x14ac:dyDescent="0.25">
      <c r="A153" s="1" t="s">
        <v>408</v>
      </c>
    </row>
    <row r="154" spans="1:1" x14ac:dyDescent="0.25">
      <c r="A154" s="1" t="s">
        <v>409</v>
      </c>
    </row>
    <row r="155" spans="1:1" x14ac:dyDescent="0.25">
      <c r="A155" s="1" t="s">
        <v>410</v>
      </c>
    </row>
    <row r="156" spans="1:1" x14ac:dyDescent="0.25">
      <c r="A156" s="1" t="s">
        <v>411</v>
      </c>
    </row>
    <row r="157" spans="1:1" x14ac:dyDescent="0.25">
      <c r="A157" s="1" t="s">
        <v>412</v>
      </c>
    </row>
    <row r="158" spans="1:1" x14ac:dyDescent="0.25">
      <c r="A158" s="1" t="s">
        <v>413</v>
      </c>
    </row>
    <row r="159" spans="1:1" x14ac:dyDescent="0.25">
      <c r="A159" s="1" t="s">
        <v>414</v>
      </c>
    </row>
    <row r="160" spans="1:1" x14ac:dyDescent="0.25">
      <c r="A160" s="1" t="s">
        <v>415</v>
      </c>
    </row>
    <row r="161" spans="1:1" x14ac:dyDescent="0.25">
      <c r="A161" s="1" t="s">
        <v>416</v>
      </c>
    </row>
    <row r="162" spans="1:1" x14ac:dyDescent="0.25">
      <c r="A162" s="1" t="s">
        <v>417</v>
      </c>
    </row>
    <row r="163" spans="1:1" x14ac:dyDescent="0.25">
      <c r="A163" s="1" t="s">
        <v>418</v>
      </c>
    </row>
    <row r="164" spans="1:1" x14ac:dyDescent="0.25">
      <c r="A164" s="1" t="s">
        <v>419</v>
      </c>
    </row>
    <row r="165" spans="1:1" x14ac:dyDescent="0.25">
      <c r="A165" s="1" t="s">
        <v>420</v>
      </c>
    </row>
    <row r="166" spans="1:1" x14ac:dyDescent="0.25">
      <c r="A166" s="1" t="s">
        <v>40</v>
      </c>
    </row>
    <row r="167" spans="1:1" x14ac:dyDescent="0.25">
      <c r="A167" s="1" t="s">
        <v>421</v>
      </c>
    </row>
    <row r="168" spans="1:1" x14ac:dyDescent="0.25">
      <c r="A168" s="1" t="s">
        <v>422</v>
      </c>
    </row>
    <row r="169" spans="1:1" x14ac:dyDescent="0.25">
      <c r="A169" s="1" t="s">
        <v>423</v>
      </c>
    </row>
    <row r="170" spans="1:1" x14ac:dyDescent="0.25">
      <c r="A170" s="1" t="s">
        <v>424</v>
      </c>
    </row>
    <row r="171" spans="1:1" x14ac:dyDescent="0.25">
      <c r="A171" s="1" t="s">
        <v>20</v>
      </c>
    </row>
    <row r="172" spans="1:1" x14ac:dyDescent="0.25">
      <c r="A172" s="1" t="s">
        <v>425</v>
      </c>
    </row>
    <row r="173" spans="1:1" x14ac:dyDescent="0.25">
      <c r="A173" s="1" t="s">
        <v>426</v>
      </c>
    </row>
    <row r="174" spans="1:1" x14ac:dyDescent="0.25">
      <c r="A174" s="1" t="s">
        <v>427</v>
      </c>
    </row>
    <row r="175" spans="1:1" x14ac:dyDescent="0.25">
      <c r="A175" s="1" t="s">
        <v>428</v>
      </c>
    </row>
    <row r="176" spans="1:1" x14ac:dyDescent="0.25">
      <c r="A176" s="1" t="s">
        <v>429</v>
      </c>
    </row>
    <row r="177" spans="1:1" x14ac:dyDescent="0.25">
      <c r="A177" s="1" t="s">
        <v>430</v>
      </c>
    </row>
    <row r="178" spans="1:1" x14ac:dyDescent="0.25">
      <c r="A178" s="1" t="s">
        <v>431</v>
      </c>
    </row>
    <row r="179" spans="1:1" x14ac:dyDescent="0.25">
      <c r="A179" s="1" t="s">
        <v>432</v>
      </c>
    </row>
    <row r="180" spans="1:1" x14ac:dyDescent="0.25">
      <c r="A180" s="1" t="s">
        <v>433</v>
      </c>
    </row>
    <row r="181" spans="1:1" x14ac:dyDescent="0.25">
      <c r="A181" s="1" t="s">
        <v>434</v>
      </c>
    </row>
    <row r="182" spans="1:1" x14ac:dyDescent="0.25">
      <c r="A182" s="1" t="s">
        <v>435</v>
      </c>
    </row>
    <row r="183" spans="1:1" x14ac:dyDescent="0.25">
      <c r="A183" s="1" t="s">
        <v>436</v>
      </c>
    </row>
    <row r="184" spans="1:1" x14ac:dyDescent="0.25">
      <c r="A184" s="1" t="s">
        <v>437</v>
      </c>
    </row>
    <row r="185" spans="1:1" x14ac:dyDescent="0.25">
      <c r="A185" s="1" t="s">
        <v>438</v>
      </c>
    </row>
    <row r="186" spans="1:1" x14ac:dyDescent="0.25">
      <c r="A186" s="1" t="s">
        <v>439</v>
      </c>
    </row>
    <row r="187" spans="1:1" x14ac:dyDescent="0.25">
      <c r="A187" s="1" t="s">
        <v>440</v>
      </c>
    </row>
    <row r="188" spans="1:1" x14ac:dyDescent="0.25">
      <c r="A188" s="1" t="s">
        <v>441</v>
      </c>
    </row>
    <row r="189" spans="1:1" x14ac:dyDescent="0.25">
      <c r="A189" s="1" t="s">
        <v>442</v>
      </c>
    </row>
    <row r="190" spans="1:1" x14ac:dyDescent="0.25">
      <c r="A190" s="1" t="s">
        <v>443</v>
      </c>
    </row>
    <row r="191" spans="1:1" x14ac:dyDescent="0.25">
      <c r="A191" s="1" t="s">
        <v>177</v>
      </c>
    </row>
    <row r="192" spans="1:1" x14ac:dyDescent="0.25">
      <c r="A192" s="1" t="s">
        <v>444</v>
      </c>
    </row>
    <row r="193" spans="1:1" x14ac:dyDescent="0.25">
      <c r="A193" s="1" t="s">
        <v>178</v>
      </c>
    </row>
    <row r="194" spans="1:1" x14ac:dyDescent="0.25">
      <c r="A194" s="1" t="s">
        <v>179</v>
      </c>
    </row>
    <row r="195" spans="1:1" x14ac:dyDescent="0.25">
      <c r="A195" s="1" t="s">
        <v>445</v>
      </c>
    </row>
    <row r="196" spans="1:1" x14ac:dyDescent="0.25">
      <c r="A196" s="1" t="s">
        <v>446</v>
      </c>
    </row>
    <row r="197" spans="1:1" x14ac:dyDescent="0.25">
      <c r="A197" s="1" t="s">
        <v>447</v>
      </c>
    </row>
    <row r="198" spans="1:1" x14ac:dyDescent="0.25">
      <c r="A198" s="1" t="s">
        <v>180</v>
      </c>
    </row>
    <row r="199" spans="1:1" x14ac:dyDescent="0.25">
      <c r="A199" s="1" t="s">
        <v>448</v>
      </c>
    </row>
    <row r="200" spans="1:1" x14ac:dyDescent="0.25">
      <c r="A200" s="1" t="s">
        <v>449</v>
      </c>
    </row>
    <row r="201" spans="1:1" x14ac:dyDescent="0.25">
      <c r="A201" s="1" t="s">
        <v>450</v>
      </c>
    </row>
    <row r="202" spans="1:1" x14ac:dyDescent="0.25">
      <c r="A202" s="1" t="s">
        <v>100</v>
      </c>
    </row>
    <row r="203" spans="1:1" x14ac:dyDescent="0.25">
      <c r="A203" s="1" t="s">
        <v>451</v>
      </c>
    </row>
    <row r="204" spans="1:1" x14ac:dyDescent="0.25">
      <c r="A204" s="1" t="s">
        <v>127</v>
      </c>
    </row>
    <row r="205" spans="1:1" x14ac:dyDescent="0.25">
      <c r="A205" s="1" t="s">
        <v>452</v>
      </c>
    </row>
    <row r="206" spans="1:1" x14ac:dyDescent="0.25">
      <c r="A206" s="1" t="s">
        <v>453</v>
      </c>
    </row>
    <row r="207" spans="1:1" x14ac:dyDescent="0.25">
      <c r="A207" s="1" t="s">
        <v>454</v>
      </c>
    </row>
    <row r="208" spans="1:1" x14ac:dyDescent="0.25">
      <c r="A208" s="1" t="s">
        <v>455</v>
      </c>
    </row>
    <row r="209" spans="1:1" x14ac:dyDescent="0.25">
      <c r="A209" s="1" t="s">
        <v>456</v>
      </c>
    </row>
    <row r="210" spans="1:1" x14ac:dyDescent="0.25">
      <c r="A210" s="1" t="s">
        <v>457</v>
      </c>
    </row>
    <row r="211" spans="1:1" x14ac:dyDescent="0.25">
      <c r="A211" s="1" t="s">
        <v>458</v>
      </c>
    </row>
    <row r="212" spans="1:1" x14ac:dyDescent="0.25">
      <c r="A212" s="1" t="s">
        <v>459</v>
      </c>
    </row>
    <row r="213" spans="1:1" x14ac:dyDescent="0.25">
      <c r="A213" s="1" t="s">
        <v>191</v>
      </c>
    </row>
    <row r="214" spans="1:1" x14ac:dyDescent="0.25">
      <c r="A214" s="1" t="s">
        <v>460</v>
      </c>
    </row>
    <row r="215" spans="1:1" x14ac:dyDescent="0.25">
      <c r="A215" s="1" t="s">
        <v>461</v>
      </c>
    </row>
    <row r="216" spans="1:1" x14ac:dyDescent="0.25">
      <c r="A216" s="1" t="s">
        <v>192</v>
      </c>
    </row>
    <row r="217" spans="1:1" x14ac:dyDescent="0.25">
      <c r="A217" s="1" t="s">
        <v>462</v>
      </c>
    </row>
    <row r="218" spans="1:1" x14ac:dyDescent="0.25">
      <c r="A218" s="1" t="s">
        <v>181</v>
      </c>
    </row>
    <row r="219" spans="1:1" x14ac:dyDescent="0.25">
      <c r="A219" s="1" t="s">
        <v>463</v>
      </c>
    </row>
    <row r="220" spans="1:1" x14ac:dyDescent="0.25">
      <c r="A220" s="1" t="s">
        <v>464</v>
      </c>
    </row>
    <row r="221" spans="1:1" x14ac:dyDescent="0.25">
      <c r="A221" s="1" t="s">
        <v>465</v>
      </c>
    </row>
    <row r="222" spans="1:1" x14ac:dyDescent="0.25">
      <c r="A222" s="1" t="s">
        <v>466</v>
      </c>
    </row>
    <row r="223" spans="1:1" x14ac:dyDescent="0.25">
      <c r="A223" s="1" t="s">
        <v>182</v>
      </c>
    </row>
    <row r="224" spans="1:1" x14ac:dyDescent="0.25">
      <c r="A224" s="1" t="s">
        <v>467</v>
      </c>
    </row>
    <row r="225" spans="1:1" x14ac:dyDescent="0.25">
      <c r="A225" s="1" t="s">
        <v>468</v>
      </c>
    </row>
    <row r="226" spans="1:1" x14ac:dyDescent="0.25">
      <c r="A226" s="1" t="s">
        <v>205</v>
      </c>
    </row>
    <row r="227" spans="1:1" x14ac:dyDescent="0.25">
      <c r="A227" s="1" t="s">
        <v>469</v>
      </c>
    </row>
    <row r="228" spans="1:1" x14ac:dyDescent="0.25">
      <c r="A228" s="1" t="s">
        <v>470</v>
      </c>
    </row>
    <row r="229" spans="1:1" x14ac:dyDescent="0.25">
      <c r="A229" s="1" t="s">
        <v>471</v>
      </c>
    </row>
    <row r="230" spans="1:1" x14ac:dyDescent="0.25">
      <c r="A230" s="1" t="s">
        <v>472</v>
      </c>
    </row>
    <row r="231" spans="1:1" x14ac:dyDescent="0.25">
      <c r="A231" s="1" t="s">
        <v>206</v>
      </c>
    </row>
    <row r="232" spans="1:1" x14ac:dyDescent="0.25">
      <c r="A232" s="1" t="s">
        <v>473</v>
      </c>
    </row>
    <row r="233" spans="1:1" x14ac:dyDescent="0.25">
      <c r="A233" s="1" t="s">
        <v>474</v>
      </c>
    </row>
    <row r="234" spans="1:1" x14ac:dyDescent="0.25">
      <c r="A234" s="1" t="s">
        <v>475</v>
      </c>
    </row>
    <row r="235" spans="1:1" x14ac:dyDescent="0.25">
      <c r="A235" s="1" t="s">
        <v>476</v>
      </c>
    </row>
    <row r="236" spans="1:1" x14ac:dyDescent="0.25">
      <c r="A236" s="1" t="s">
        <v>477</v>
      </c>
    </row>
    <row r="237" spans="1:1" x14ac:dyDescent="0.25">
      <c r="A237" s="1" t="s">
        <v>478</v>
      </c>
    </row>
    <row r="238" spans="1:1" x14ac:dyDescent="0.25">
      <c r="A238" s="1" t="s">
        <v>84</v>
      </c>
    </row>
    <row r="239" spans="1:1" x14ac:dyDescent="0.25">
      <c r="A239" s="1" t="s">
        <v>479</v>
      </c>
    </row>
    <row r="240" spans="1:1" x14ac:dyDescent="0.25">
      <c r="A240" s="1" t="s">
        <v>480</v>
      </c>
    </row>
    <row r="241" spans="1:1" x14ac:dyDescent="0.25">
      <c r="A241" s="1" t="s">
        <v>193</v>
      </c>
    </row>
    <row r="242" spans="1:1" x14ac:dyDescent="0.25">
      <c r="A242" s="1" t="s">
        <v>481</v>
      </c>
    </row>
    <row r="243" spans="1:1" x14ac:dyDescent="0.25">
      <c r="A243" s="1" t="s">
        <v>482</v>
      </c>
    </row>
    <row r="244" spans="1:1" x14ac:dyDescent="0.25">
      <c r="A244" s="1" t="s">
        <v>483</v>
      </c>
    </row>
    <row r="245" spans="1:1" x14ac:dyDescent="0.25">
      <c r="A245" s="1" t="s">
        <v>183</v>
      </c>
    </row>
    <row r="246" spans="1:1" x14ac:dyDescent="0.25">
      <c r="A246" s="1" t="s">
        <v>484</v>
      </c>
    </row>
    <row r="247" spans="1:1" x14ac:dyDescent="0.25">
      <c r="A247" s="1" t="s">
        <v>485</v>
      </c>
    </row>
    <row r="248" spans="1:1" x14ac:dyDescent="0.25">
      <c r="A248" s="1" t="s">
        <v>486</v>
      </c>
    </row>
    <row r="249" spans="1:1" x14ac:dyDescent="0.25">
      <c r="A249" s="1" t="s">
        <v>487</v>
      </c>
    </row>
    <row r="250" spans="1:1" x14ac:dyDescent="0.25">
      <c r="A250" s="1" t="s">
        <v>184</v>
      </c>
    </row>
    <row r="251" spans="1:1" x14ac:dyDescent="0.25">
      <c r="A251" s="1" t="s">
        <v>488</v>
      </c>
    </row>
    <row r="252" spans="1:1" x14ac:dyDescent="0.25">
      <c r="A252" s="1" t="s">
        <v>489</v>
      </c>
    </row>
    <row r="253" spans="1:1" x14ac:dyDescent="0.25">
      <c r="A253" s="1" t="s">
        <v>207</v>
      </c>
    </row>
    <row r="254" spans="1:1" x14ac:dyDescent="0.25">
      <c r="A254" s="1" t="s">
        <v>208</v>
      </c>
    </row>
    <row r="255" spans="1:1" x14ac:dyDescent="0.25">
      <c r="A255" s="1" t="s">
        <v>490</v>
      </c>
    </row>
    <row r="256" spans="1:1" x14ac:dyDescent="0.25">
      <c r="A256" s="1" t="s">
        <v>491</v>
      </c>
    </row>
    <row r="257" spans="1:1" x14ac:dyDescent="0.25">
      <c r="A257" s="1" t="s">
        <v>492</v>
      </c>
    </row>
    <row r="258" spans="1:1" x14ac:dyDescent="0.25">
      <c r="A258" s="1" t="s">
        <v>209</v>
      </c>
    </row>
    <row r="259" spans="1:1" x14ac:dyDescent="0.25">
      <c r="A259" s="1" t="s">
        <v>493</v>
      </c>
    </row>
    <row r="260" spans="1:1" x14ac:dyDescent="0.25">
      <c r="A260" s="1" t="s">
        <v>494</v>
      </c>
    </row>
    <row r="261" spans="1:1" x14ac:dyDescent="0.25">
      <c r="A261" s="1" t="s">
        <v>104</v>
      </c>
    </row>
    <row r="262" spans="1:1" x14ac:dyDescent="0.25">
      <c r="A262" s="1" t="s">
        <v>194</v>
      </c>
    </row>
    <row r="263" spans="1:1" x14ac:dyDescent="0.25">
      <c r="A263" s="1" t="s">
        <v>495</v>
      </c>
    </row>
    <row r="264" spans="1:1" x14ac:dyDescent="0.25">
      <c r="A264" s="1" t="s">
        <v>496</v>
      </c>
    </row>
    <row r="265" spans="1:1" x14ac:dyDescent="0.25">
      <c r="A265" s="1" t="s">
        <v>497</v>
      </c>
    </row>
    <row r="266" spans="1:1" x14ac:dyDescent="0.25">
      <c r="A266" s="1" t="s">
        <v>195</v>
      </c>
    </row>
    <row r="267" spans="1:1" x14ac:dyDescent="0.25">
      <c r="A267" s="1" t="s">
        <v>498</v>
      </c>
    </row>
    <row r="268" spans="1:1" x14ac:dyDescent="0.25">
      <c r="A268" s="1" t="s">
        <v>238</v>
      </c>
    </row>
    <row r="269" spans="1:1" x14ac:dyDescent="0.25">
      <c r="A269" s="1" t="s">
        <v>499</v>
      </c>
    </row>
    <row r="270" spans="1:1" x14ac:dyDescent="0.25">
      <c r="A270" s="1" t="s">
        <v>500</v>
      </c>
    </row>
    <row r="271" spans="1:1" x14ac:dyDescent="0.25">
      <c r="A271" s="1" t="s">
        <v>501</v>
      </c>
    </row>
    <row r="272" spans="1:1" x14ac:dyDescent="0.25">
      <c r="A272" s="1" t="s">
        <v>502</v>
      </c>
    </row>
    <row r="273" spans="1:1" x14ac:dyDescent="0.25">
      <c r="A273" s="1" t="s">
        <v>503</v>
      </c>
    </row>
    <row r="274" spans="1:1" x14ac:dyDescent="0.25">
      <c r="A274" s="1" t="s">
        <v>504</v>
      </c>
    </row>
    <row r="275" spans="1:1" x14ac:dyDescent="0.25">
      <c r="A275" s="1" t="s">
        <v>505</v>
      </c>
    </row>
    <row r="276" spans="1:1" x14ac:dyDescent="0.25">
      <c r="A276" s="1" t="s">
        <v>185</v>
      </c>
    </row>
    <row r="277" spans="1:1" x14ac:dyDescent="0.25">
      <c r="A277" s="1" t="s">
        <v>506</v>
      </c>
    </row>
    <row r="278" spans="1:1" x14ac:dyDescent="0.25">
      <c r="A278" s="1" t="s">
        <v>210</v>
      </c>
    </row>
    <row r="279" spans="1:1" x14ac:dyDescent="0.25">
      <c r="A279" s="1" t="s">
        <v>507</v>
      </c>
    </row>
    <row r="280" spans="1:1" x14ac:dyDescent="0.25">
      <c r="A280" s="1" t="s">
        <v>508</v>
      </c>
    </row>
    <row r="281" spans="1:1" x14ac:dyDescent="0.25">
      <c r="A281" s="1" t="s">
        <v>509</v>
      </c>
    </row>
    <row r="282" spans="1:1" x14ac:dyDescent="0.25">
      <c r="A282" s="1" t="s">
        <v>211</v>
      </c>
    </row>
    <row r="283" spans="1:1" x14ac:dyDescent="0.25">
      <c r="A283" s="1" t="s">
        <v>510</v>
      </c>
    </row>
    <row r="284" spans="1:1" x14ac:dyDescent="0.25">
      <c r="A284" s="1" t="s">
        <v>511</v>
      </c>
    </row>
    <row r="285" spans="1:1" x14ac:dyDescent="0.25">
      <c r="A285" s="1" t="s">
        <v>512</v>
      </c>
    </row>
    <row r="286" spans="1:1" x14ac:dyDescent="0.25">
      <c r="A286" s="1" t="s">
        <v>175</v>
      </c>
    </row>
    <row r="287" spans="1:1" x14ac:dyDescent="0.25">
      <c r="A287" s="1" t="s">
        <v>513</v>
      </c>
    </row>
    <row r="288" spans="1:1" x14ac:dyDescent="0.25">
      <c r="A288" s="1" t="s">
        <v>514</v>
      </c>
    </row>
    <row r="289" spans="1:1" x14ac:dyDescent="0.25">
      <c r="A289" s="1" t="s">
        <v>196</v>
      </c>
    </row>
    <row r="290" spans="1:1" x14ac:dyDescent="0.25">
      <c r="A290" s="1" t="s">
        <v>515</v>
      </c>
    </row>
    <row r="291" spans="1:1" x14ac:dyDescent="0.25">
      <c r="A291" s="1" t="s">
        <v>516</v>
      </c>
    </row>
    <row r="292" spans="1:1" x14ac:dyDescent="0.25">
      <c r="A292" s="1" t="s">
        <v>517</v>
      </c>
    </row>
    <row r="293" spans="1:1" x14ac:dyDescent="0.25">
      <c r="A293" s="1" t="s">
        <v>518</v>
      </c>
    </row>
    <row r="294" spans="1:1" x14ac:dyDescent="0.25">
      <c r="A294" s="1" t="s">
        <v>519</v>
      </c>
    </row>
    <row r="295" spans="1:1" x14ac:dyDescent="0.25">
      <c r="A295" s="1" t="s">
        <v>520</v>
      </c>
    </row>
    <row r="296" spans="1:1" x14ac:dyDescent="0.25">
      <c r="A296" s="1" t="s">
        <v>186</v>
      </c>
    </row>
    <row r="297" spans="1:1" x14ac:dyDescent="0.25">
      <c r="A297" s="1" t="s">
        <v>521</v>
      </c>
    </row>
    <row r="298" spans="1:1" x14ac:dyDescent="0.25">
      <c r="A298" s="1" t="s">
        <v>187</v>
      </c>
    </row>
    <row r="299" spans="1:1" x14ac:dyDescent="0.25">
      <c r="A299" s="1" t="s">
        <v>522</v>
      </c>
    </row>
    <row r="300" spans="1:1" x14ac:dyDescent="0.25">
      <c r="A300" s="1" t="s">
        <v>523</v>
      </c>
    </row>
    <row r="301" spans="1:1" x14ac:dyDescent="0.25">
      <c r="A301" s="1" t="s">
        <v>96</v>
      </c>
    </row>
    <row r="302" spans="1:1" x14ac:dyDescent="0.25">
      <c r="A302" s="1" t="s">
        <v>524</v>
      </c>
    </row>
    <row r="303" spans="1:1" x14ac:dyDescent="0.25">
      <c r="A303" s="1" t="s">
        <v>525</v>
      </c>
    </row>
    <row r="304" spans="1:1" x14ac:dyDescent="0.25">
      <c r="A304" s="1" t="s">
        <v>526</v>
      </c>
    </row>
    <row r="305" spans="1:1" x14ac:dyDescent="0.25">
      <c r="A305" s="1" t="s">
        <v>527</v>
      </c>
    </row>
    <row r="306" spans="1:1" x14ac:dyDescent="0.25">
      <c r="A306" s="1" t="s">
        <v>212</v>
      </c>
    </row>
    <row r="307" spans="1:1" x14ac:dyDescent="0.25">
      <c r="A307" s="1" t="s">
        <v>213</v>
      </c>
    </row>
    <row r="308" spans="1:1" x14ac:dyDescent="0.25">
      <c r="A308" s="1" t="s">
        <v>528</v>
      </c>
    </row>
    <row r="309" spans="1:1" x14ac:dyDescent="0.25">
      <c r="A309" s="1" t="s">
        <v>529</v>
      </c>
    </row>
    <row r="310" spans="1:1" x14ac:dyDescent="0.25">
      <c r="A310" s="1" t="s">
        <v>530</v>
      </c>
    </row>
    <row r="311" spans="1:1" x14ac:dyDescent="0.25">
      <c r="A311" s="1" t="s">
        <v>176</v>
      </c>
    </row>
    <row r="312" spans="1:1" x14ac:dyDescent="0.25">
      <c r="A312" s="1" t="s">
        <v>531</v>
      </c>
    </row>
    <row r="313" spans="1:1" x14ac:dyDescent="0.25">
      <c r="A313" s="1" t="s">
        <v>532</v>
      </c>
    </row>
    <row r="314" spans="1:1" x14ac:dyDescent="0.25">
      <c r="A314" s="1" t="s">
        <v>533</v>
      </c>
    </row>
    <row r="315" spans="1:1" x14ac:dyDescent="0.25">
      <c r="A315" s="1" t="s">
        <v>534</v>
      </c>
    </row>
    <row r="316" spans="1:1" x14ac:dyDescent="0.25">
      <c r="A316" s="1" t="s">
        <v>197</v>
      </c>
    </row>
    <row r="317" spans="1:1" x14ac:dyDescent="0.25">
      <c r="A317" s="1" t="s">
        <v>535</v>
      </c>
    </row>
    <row r="318" spans="1:1" x14ac:dyDescent="0.25">
      <c r="A318" s="1" t="s">
        <v>536</v>
      </c>
    </row>
    <row r="319" spans="1:1" x14ac:dyDescent="0.25">
      <c r="A319" s="1" t="s">
        <v>537</v>
      </c>
    </row>
    <row r="320" spans="1:1" x14ac:dyDescent="0.25">
      <c r="A320" s="1" t="s">
        <v>198</v>
      </c>
    </row>
    <row r="321" spans="1:1" x14ac:dyDescent="0.25">
      <c r="A321" s="1" t="s">
        <v>538</v>
      </c>
    </row>
    <row r="322" spans="1:1" x14ac:dyDescent="0.25">
      <c r="A322" s="1" t="s">
        <v>539</v>
      </c>
    </row>
    <row r="323" spans="1:1" x14ac:dyDescent="0.25">
      <c r="A323" s="1" t="s">
        <v>540</v>
      </c>
    </row>
    <row r="324" spans="1:1" x14ac:dyDescent="0.25">
      <c r="A324" s="1" t="s">
        <v>541</v>
      </c>
    </row>
    <row r="325" spans="1:1" x14ac:dyDescent="0.25">
      <c r="A325" s="1" t="s">
        <v>188</v>
      </c>
    </row>
    <row r="326" spans="1:1" x14ac:dyDescent="0.25">
      <c r="A326" s="1" t="s">
        <v>542</v>
      </c>
    </row>
    <row r="327" spans="1:1" x14ac:dyDescent="0.25">
      <c r="A327" s="1" t="s">
        <v>86</v>
      </c>
    </row>
    <row r="328" spans="1:1" x14ac:dyDescent="0.25">
      <c r="A328" s="1" t="s">
        <v>155</v>
      </c>
    </row>
    <row r="329" spans="1:1" x14ac:dyDescent="0.25">
      <c r="A329" s="1" t="s">
        <v>543</v>
      </c>
    </row>
    <row r="330" spans="1:1" x14ac:dyDescent="0.25">
      <c r="A330" s="1" t="s">
        <v>544</v>
      </c>
    </row>
    <row r="331" spans="1:1" x14ac:dyDescent="0.25">
      <c r="A331" s="1" t="s">
        <v>545</v>
      </c>
    </row>
    <row r="332" spans="1:1" x14ac:dyDescent="0.25">
      <c r="A332" s="1" t="s">
        <v>214</v>
      </c>
    </row>
    <row r="333" spans="1:1" x14ac:dyDescent="0.25">
      <c r="A333" s="1" t="s">
        <v>546</v>
      </c>
    </row>
    <row r="334" spans="1:1" x14ac:dyDescent="0.25">
      <c r="A334" s="1" t="s">
        <v>547</v>
      </c>
    </row>
    <row r="335" spans="1:1" x14ac:dyDescent="0.25">
      <c r="A335" s="1" t="s">
        <v>548</v>
      </c>
    </row>
    <row r="336" spans="1:1" x14ac:dyDescent="0.25">
      <c r="A336" s="1" t="s">
        <v>549</v>
      </c>
    </row>
    <row r="337" spans="1:1" x14ac:dyDescent="0.25">
      <c r="A337" s="1" t="s">
        <v>105</v>
      </c>
    </row>
    <row r="338" spans="1:1" x14ac:dyDescent="0.25">
      <c r="A338" s="1" t="s">
        <v>550</v>
      </c>
    </row>
    <row r="339" spans="1:1" x14ac:dyDescent="0.25">
      <c r="A339" s="1" t="s">
        <v>551</v>
      </c>
    </row>
    <row r="340" spans="1:1" x14ac:dyDescent="0.25">
      <c r="A340" s="1" t="s">
        <v>85</v>
      </c>
    </row>
    <row r="341" spans="1:1" x14ac:dyDescent="0.25">
      <c r="A341" s="1" t="s">
        <v>199</v>
      </c>
    </row>
    <row r="342" spans="1:1" x14ac:dyDescent="0.25">
      <c r="A342" s="1" t="s">
        <v>552</v>
      </c>
    </row>
    <row r="343" spans="1:1" x14ac:dyDescent="0.25">
      <c r="A343" s="1" t="s">
        <v>553</v>
      </c>
    </row>
    <row r="344" spans="1:1" x14ac:dyDescent="0.25">
      <c r="A344" s="1" t="s">
        <v>107</v>
      </c>
    </row>
    <row r="345" spans="1:1" x14ac:dyDescent="0.25">
      <c r="A345" s="1" t="s">
        <v>200</v>
      </c>
    </row>
    <row r="346" spans="1:1" x14ac:dyDescent="0.25">
      <c r="A346" s="1" t="s">
        <v>239</v>
      </c>
    </row>
    <row r="347" spans="1:1" x14ac:dyDescent="0.25">
      <c r="A347" s="1" t="s">
        <v>554</v>
      </c>
    </row>
    <row r="348" spans="1:1" x14ac:dyDescent="0.25">
      <c r="A348" s="1" t="s">
        <v>555</v>
      </c>
    </row>
    <row r="349" spans="1:1" x14ac:dyDescent="0.25">
      <c r="A349" s="1" t="s">
        <v>556</v>
      </c>
    </row>
    <row r="350" spans="1:1" x14ac:dyDescent="0.25">
      <c r="A350" s="1" t="s">
        <v>189</v>
      </c>
    </row>
    <row r="351" spans="1:1" x14ac:dyDescent="0.25">
      <c r="A351" s="1" t="s">
        <v>557</v>
      </c>
    </row>
    <row r="352" spans="1:1" x14ac:dyDescent="0.25">
      <c r="A352" s="1" t="s">
        <v>558</v>
      </c>
    </row>
    <row r="353" spans="1:1" x14ac:dyDescent="0.25">
      <c r="A353" s="1" t="s">
        <v>559</v>
      </c>
    </row>
    <row r="354" spans="1:1" x14ac:dyDescent="0.25">
      <c r="A354" s="1" t="s">
        <v>560</v>
      </c>
    </row>
    <row r="355" spans="1:1" x14ac:dyDescent="0.25">
      <c r="A355" s="1" t="s">
        <v>561</v>
      </c>
    </row>
    <row r="356" spans="1:1" x14ac:dyDescent="0.25">
      <c r="A356" s="1" t="s">
        <v>562</v>
      </c>
    </row>
    <row r="357" spans="1:1" x14ac:dyDescent="0.25">
      <c r="A357" s="1" t="s">
        <v>563</v>
      </c>
    </row>
    <row r="358" spans="1:1" x14ac:dyDescent="0.25">
      <c r="A358" s="1" t="s">
        <v>101</v>
      </c>
    </row>
    <row r="359" spans="1:1" x14ac:dyDescent="0.25">
      <c r="A359" s="1" t="s">
        <v>564</v>
      </c>
    </row>
    <row r="360" spans="1:1" x14ac:dyDescent="0.25">
      <c r="A360" s="1" t="s">
        <v>231</v>
      </c>
    </row>
    <row r="361" spans="1:1" x14ac:dyDescent="0.25">
      <c r="A361" s="1" t="s">
        <v>565</v>
      </c>
    </row>
    <row r="362" spans="1:1" x14ac:dyDescent="0.25">
      <c r="A362" s="1" t="s">
        <v>156</v>
      </c>
    </row>
    <row r="363" spans="1:1" x14ac:dyDescent="0.25">
      <c r="A363" s="1" t="s">
        <v>566</v>
      </c>
    </row>
    <row r="364" spans="1:1" x14ac:dyDescent="0.25">
      <c r="A364" s="1" t="s">
        <v>232</v>
      </c>
    </row>
    <row r="365" spans="1:1" x14ac:dyDescent="0.25">
      <c r="A365" s="1" t="s">
        <v>153</v>
      </c>
    </row>
    <row r="366" spans="1:1" x14ac:dyDescent="0.25">
      <c r="A366" s="1" t="s">
        <v>201</v>
      </c>
    </row>
    <row r="367" spans="1:1" x14ac:dyDescent="0.25">
      <c r="A367" s="1" t="s">
        <v>567</v>
      </c>
    </row>
    <row r="368" spans="1:1" x14ac:dyDescent="0.25">
      <c r="A368" s="1" t="s">
        <v>568</v>
      </c>
    </row>
    <row r="369" spans="1:1" x14ac:dyDescent="0.25">
      <c r="A369" s="1" t="s">
        <v>569</v>
      </c>
    </row>
    <row r="370" spans="1:1" x14ac:dyDescent="0.25">
      <c r="A370" s="1" t="s">
        <v>570</v>
      </c>
    </row>
    <row r="371" spans="1:1" x14ac:dyDescent="0.25">
      <c r="A371" s="1" t="s">
        <v>242</v>
      </c>
    </row>
    <row r="372" spans="1:1" x14ac:dyDescent="0.25">
      <c r="A372" s="1" t="s">
        <v>571</v>
      </c>
    </row>
    <row r="373" spans="1:1" x14ac:dyDescent="0.25">
      <c r="A373" s="1" t="s">
        <v>572</v>
      </c>
    </row>
    <row r="374" spans="1:1" x14ac:dyDescent="0.25">
      <c r="A374" s="1" t="s">
        <v>202</v>
      </c>
    </row>
    <row r="375" spans="1:1" x14ac:dyDescent="0.25">
      <c r="A375" s="1" t="s">
        <v>573</v>
      </c>
    </row>
    <row r="376" spans="1:1" x14ac:dyDescent="0.25">
      <c r="A376" s="1" t="s">
        <v>574</v>
      </c>
    </row>
    <row r="377" spans="1:1" x14ac:dyDescent="0.25">
      <c r="A377" s="1" t="s">
        <v>575</v>
      </c>
    </row>
    <row r="378" spans="1:1" x14ac:dyDescent="0.25">
      <c r="A378" s="1" t="s">
        <v>576</v>
      </c>
    </row>
    <row r="379" spans="1:1" x14ac:dyDescent="0.25">
      <c r="A379" s="1" t="s">
        <v>577</v>
      </c>
    </row>
    <row r="380" spans="1:1" x14ac:dyDescent="0.25">
      <c r="A380" s="1" t="s">
        <v>578</v>
      </c>
    </row>
    <row r="381" spans="1:1" x14ac:dyDescent="0.25">
      <c r="A381" s="1" t="s">
        <v>126</v>
      </c>
    </row>
    <row r="382" spans="1:1" x14ac:dyDescent="0.25">
      <c r="A382" s="1" t="s">
        <v>579</v>
      </c>
    </row>
    <row r="383" spans="1:1" x14ac:dyDescent="0.25">
      <c r="A383" s="1" t="s">
        <v>138</v>
      </c>
    </row>
    <row r="384" spans="1:1" x14ac:dyDescent="0.25">
      <c r="A384" s="1" t="s">
        <v>580</v>
      </c>
    </row>
    <row r="385" spans="1:1" x14ac:dyDescent="0.25">
      <c r="A385" s="1" t="s">
        <v>581</v>
      </c>
    </row>
    <row r="386" spans="1:1" x14ac:dyDescent="0.25">
      <c r="A386" s="1" t="s">
        <v>582</v>
      </c>
    </row>
    <row r="387" spans="1:1" x14ac:dyDescent="0.25">
      <c r="A387" s="1" t="s">
        <v>139</v>
      </c>
    </row>
    <row r="388" spans="1:1" x14ac:dyDescent="0.25">
      <c r="A388" s="1" t="s">
        <v>583</v>
      </c>
    </row>
    <row r="389" spans="1:1" x14ac:dyDescent="0.25">
      <c r="A389" s="1" t="s">
        <v>584</v>
      </c>
    </row>
    <row r="390" spans="1:1" x14ac:dyDescent="0.25">
      <c r="A390" s="1" t="s">
        <v>141</v>
      </c>
    </row>
    <row r="391" spans="1:1" x14ac:dyDescent="0.25">
      <c r="A391" s="1" t="s">
        <v>585</v>
      </c>
    </row>
    <row r="392" spans="1:1" x14ac:dyDescent="0.25">
      <c r="A392" s="1" t="s">
        <v>586</v>
      </c>
    </row>
    <row r="393" spans="1:1" x14ac:dyDescent="0.25">
      <c r="A393" s="1" t="s">
        <v>587</v>
      </c>
    </row>
    <row r="394" spans="1:1" x14ac:dyDescent="0.25">
      <c r="A394" s="1" t="s">
        <v>257</v>
      </c>
    </row>
    <row r="395" spans="1:1" x14ac:dyDescent="0.25">
      <c r="A395" s="1" t="s">
        <v>588</v>
      </c>
    </row>
    <row r="396" spans="1:1" x14ac:dyDescent="0.25">
      <c r="A396" s="1" t="s">
        <v>154</v>
      </c>
    </row>
    <row r="397" spans="1:1" x14ac:dyDescent="0.25">
      <c r="A397" s="1" t="s">
        <v>589</v>
      </c>
    </row>
    <row r="398" spans="1:1" x14ac:dyDescent="0.25">
      <c r="A398" s="1" t="s">
        <v>590</v>
      </c>
    </row>
    <row r="399" spans="1:1" x14ac:dyDescent="0.25">
      <c r="A399" s="1" t="s">
        <v>591</v>
      </c>
    </row>
    <row r="400" spans="1:1" x14ac:dyDescent="0.25">
      <c r="A400" s="1" t="s">
        <v>592</v>
      </c>
    </row>
    <row r="401" spans="1:1" x14ac:dyDescent="0.25">
      <c r="A401" s="1" t="s">
        <v>593</v>
      </c>
    </row>
    <row r="402" spans="1:1" x14ac:dyDescent="0.25">
      <c r="A402" s="1" t="s">
        <v>190</v>
      </c>
    </row>
    <row r="403" spans="1:1" x14ac:dyDescent="0.25">
      <c r="A403" s="1" t="s">
        <v>594</v>
      </c>
    </row>
    <row r="404" spans="1:1" x14ac:dyDescent="0.25">
      <c r="A404" s="1" t="s">
        <v>227</v>
      </c>
    </row>
    <row r="405" spans="1:1" x14ac:dyDescent="0.25">
      <c r="A405" s="1" t="s">
        <v>172</v>
      </c>
    </row>
    <row r="406" spans="1:1" x14ac:dyDescent="0.25">
      <c r="A406" s="1" t="s">
        <v>595</v>
      </c>
    </row>
    <row r="407" spans="1:1" x14ac:dyDescent="0.25">
      <c r="A407" s="1" t="s">
        <v>596</v>
      </c>
    </row>
    <row r="408" spans="1:1" x14ac:dyDescent="0.25">
      <c r="A408" s="1" t="s">
        <v>597</v>
      </c>
    </row>
    <row r="409" spans="1:1" x14ac:dyDescent="0.25">
      <c r="A409" s="1" t="s">
        <v>215</v>
      </c>
    </row>
    <row r="410" spans="1:1" x14ac:dyDescent="0.25">
      <c r="A410" s="1" t="s">
        <v>598</v>
      </c>
    </row>
    <row r="411" spans="1:1" x14ac:dyDescent="0.25">
      <c r="A411" s="1" t="s">
        <v>599</v>
      </c>
    </row>
    <row r="412" spans="1:1" x14ac:dyDescent="0.25">
      <c r="A412" s="1" t="s">
        <v>600</v>
      </c>
    </row>
    <row r="413" spans="1:1" x14ac:dyDescent="0.25">
      <c r="A413" s="1" t="s">
        <v>601</v>
      </c>
    </row>
    <row r="414" spans="1:1" x14ac:dyDescent="0.25">
      <c r="A414" s="1" t="s">
        <v>235</v>
      </c>
    </row>
    <row r="415" spans="1:1" x14ac:dyDescent="0.25">
      <c r="A415" s="1" t="s">
        <v>602</v>
      </c>
    </row>
    <row r="416" spans="1:1" x14ac:dyDescent="0.25">
      <c r="A416" s="1" t="s">
        <v>603</v>
      </c>
    </row>
    <row r="417" spans="1:1" x14ac:dyDescent="0.25">
      <c r="A417" s="1" t="s">
        <v>604</v>
      </c>
    </row>
    <row r="418" spans="1:1" x14ac:dyDescent="0.25">
      <c r="A418" s="1" t="s">
        <v>605</v>
      </c>
    </row>
    <row r="419" spans="1:1" x14ac:dyDescent="0.25">
      <c r="A419" s="1" t="s">
        <v>606</v>
      </c>
    </row>
    <row r="420" spans="1:1" x14ac:dyDescent="0.25">
      <c r="A420" s="1" t="s">
        <v>203</v>
      </c>
    </row>
    <row r="421" spans="1:1" x14ac:dyDescent="0.25">
      <c r="A421" s="1" t="s">
        <v>607</v>
      </c>
    </row>
    <row r="422" spans="1:1" x14ac:dyDescent="0.25">
      <c r="A422" s="1" t="s">
        <v>608</v>
      </c>
    </row>
    <row r="423" spans="1:1" x14ac:dyDescent="0.25">
      <c r="A423" s="1" t="s">
        <v>159</v>
      </c>
    </row>
    <row r="424" spans="1:1" x14ac:dyDescent="0.25">
      <c r="A424" s="1" t="s">
        <v>609</v>
      </c>
    </row>
    <row r="425" spans="1:1" x14ac:dyDescent="0.25">
      <c r="A425" s="1" t="s">
        <v>97</v>
      </c>
    </row>
    <row r="426" spans="1:1" x14ac:dyDescent="0.25">
      <c r="A426" s="1" t="s">
        <v>610</v>
      </c>
    </row>
    <row r="427" spans="1:1" x14ac:dyDescent="0.25">
      <c r="A427" s="1" t="s">
        <v>611</v>
      </c>
    </row>
    <row r="428" spans="1:1" x14ac:dyDescent="0.25">
      <c r="A428" s="1" t="s">
        <v>612</v>
      </c>
    </row>
    <row r="429" spans="1:1" x14ac:dyDescent="0.25">
      <c r="A429" s="1" t="s">
        <v>613</v>
      </c>
    </row>
    <row r="430" spans="1:1" x14ac:dyDescent="0.25">
      <c r="A430" s="1" t="s">
        <v>614</v>
      </c>
    </row>
    <row r="431" spans="1:1" x14ac:dyDescent="0.25">
      <c r="A431" s="1" t="s">
        <v>615</v>
      </c>
    </row>
    <row r="432" spans="1:1" x14ac:dyDescent="0.25">
      <c r="A432" s="1" t="s">
        <v>129</v>
      </c>
    </row>
    <row r="433" spans="1:1" x14ac:dyDescent="0.25">
      <c r="A433" s="1" t="s">
        <v>616</v>
      </c>
    </row>
    <row r="434" spans="1:1" x14ac:dyDescent="0.25">
      <c r="A434" s="1" t="s">
        <v>617</v>
      </c>
    </row>
    <row r="435" spans="1:1" x14ac:dyDescent="0.25">
      <c r="A435" s="1" t="s">
        <v>618</v>
      </c>
    </row>
    <row r="436" spans="1:1" x14ac:dyDescent="0.25">
      <c r="A436" s="1" t="s">
        <v>106</v>
      </c>
    </row>
    <row r="437" spans="1:1" x14ac:dyDescent="0.25">
      <c r="A437" s="1" t="s">
        <v>619</v>
      </c>
    </row>
    <row r="438" spans="1:1" x14ac:dyDescent="0.25">
      <c r="A438" s="1" t="s">
        <v>620</v>
      </c>
    </row>
    <row r="439" spans="1:1" x14ac:dyDescent="0.25">
      <c r="A439" s="1" t="s">
        <v>142</v>
      </c>
    </row>
    <row r="440" spans="1:1" x14ac:dyDescent="0.25">
      <c r="A440" s="1" t="s">
        <v>621</v>
      </c>
    </row>
    <row r="441" spans="1:1" x14ac:dyDescent="0.25">
      <c r="A441" s="1" t="s">
        <v>236</v>
      </c>
    </row>
    <row r="442" spans="1:1" x14ac:dyDescent="0.25">
      <c r="A442" s="1" t="s">
        <v>143</v>
      </c>
    </row>
    <row r="443" spans="1:1" x14ac:dyDescent="0.25">
      <c r="A443" s="1" t="s">
        <v>622</v>
      </c>
    </row>
    <row r="444" spans="1:1" x14ac:dyDescent="0.25">
      <c r="A444" s="1" t="s">
        <v>24</v>
      </c>
    </row>
    <row r="445" spans="1:1" x14ac:dyDescent="0.25">
      <c r="A445" s="1" t="s">
        <v>623</v>
      </c>
    </row>
    <row r="446" spans="1:1" x14ac:dyDescent="0.25">
      <c r="A446" s="1" t="s">
        <v>624</v>
      </c>
    </row>
    <row r="447" spans="1:1" x14ac:dyDescent="0.25">
      <c r="A447" s="1" t="s">
        <v>41</v>
      </c>
    </row>
    <row r="448" spans="1:1" x14ac:dyDescent="0.25">
      <c r="A448" s="1" t="s">
        <v>625</v>
      </c>
    </row>
    <row r="449" spans="1:1" x14ac:dyDescent="0.25">
      <c r="A449" s="1" t="s">
        <v>241</v>
      </c>
    </row>
    <row r="450" spans="1:1" x14ac:dyDescent="0.25">
      <c r="A450" s="1" t="s">
        <v>173</v>
      </c>
    </row>
    <row r="451" spans="1:1" x14ac:dyDescent="0.25">
      <c r="A451" s="1" t="s">
        <v>626</v>
      </c>
    </row>
    <row r="452" spans="1:1" x14ac:dyDescent="0.25">
      <c r="A452" s="1" t="s">
        <v>627</v>
      </c>
    </row>
    <row r="453" spans="1:1" x14ac:dyDescent="0.25">
      <c r="A453" s="1" t="s">
        <v>628</v>
      </c>
    </row>
    <row r="454" spans="1:1" x14ac:dyDescent="0.25">
      <c r="A454" s="1" t="s">
        <v>629</v>
      </c>
    </row>
    <row r="455" spans="1:1" x14ac:dyDescent="0.25">
      <c r="A455" s="1" t="s">
        <v>130</v>
      </c>
    </row>
    <row r="456" spans="1:1" x14ac:dyDescent="0.25">
      <c r="A456" s="1" t="s">
        <v>630</v>
      </c>
    </row>
    <row r="457" spans="1:1" x14ac:dyDescent="0.25">
      <c r="A457" s="1" t="s">
        <v>631</v>
      </c>
    </row>
    <row r="458" spans="1:1" x14ac:dyDescent="0.25">
      <c r="A458" s="1" t="s">
        <v>218</v>
      </c>
    </row>
    <row r="459" spans="1:1" x14ac:dyDescent="0.25">
      <c r="A459" s="1" t="s">
        <v>150</v>
      </c>
    </row>
    <row r="460" spans="1:1" x14ac:dyDescent="0.25">
      <c r="A460" s="1" t="s">
        <v>632</v>
      </c>
    </row>
    <row r="461" spans="1:1" x14ac:dyDescent="0.25">
      <c r="A461" s="1" t="s">
        <v>633</v>
      </c>
    </row>
    <row r="462" spans="1:1" x14ac:dyDescent="0.25">
      <c r="A462" s="1" t="s">
        <v>634</v>
      </c>
    </row>
    <row r="463" spans="1:1" x14ac:dyDescent="0.25">
      <c r="A463" s="1" t="s">
        <v>635</v>
      </c>
    </row>
    <row r="464" spans="1:1" x14ac:dyDescent="0.25">
      <c r="A464" s="1" t="s">
        <v>636</v>
      </c>
    </row>
    <row r="465" spans="1:1" x14ac:dyDescent="0.25">
      <c r="A465" s="1" t="s">
        <v>637</v>
      </c>
    </row>
    <row r="466" spans="1:1" x14ac:dyDescent="0.25">
      <c r="A466" s="1" t="s">
        <v>233</v>
      </c>
    </row>
    <row r="467" spans="1:1" x14ac:dyDescent="0.25">
      <c r="A467" s="1" t="s">
        <v>240</v>
      </c>
    </row>
    <row r="468" spans="1:1" x14ac:dyDescent="0.25">
      <c r="A468" s="1" t="s">
        <v>234</v>
      </c>
    </row>
    <row r="469" spans="1:1" x14ac:dyDescent="0.25">
      <c r="A469" s="1" t="s">
        <v>638</v>
      </c>
    </row>
    <row r="470" spans="1:1" x14ac:dyDescent="0.25">
      <c r="A470" s="1" t="s">
        <v>204</v>
      </c>
    </row>
    <row r="471" spans="1:1" x14ac:dyDescent="0.25">
      <c r="A471" s="1" t="s">
        <v>639</v>
      </c>
    </row>
    <row r="472" spans="1:1" x14ac:dyDescent="0.25">
      <c r="A472" s="1" t="s">
        <v>640</v>
      </c>
    </row>
    <row r="473" spans="1:1" x14ac:dyDescent="0.25">
      <c r="A473" s="1" t="s">
        <v>641</v>
      </c>
    </row>
    <row r="474" spans="1:1" x14ac:dyDescent="0.25">
      <c r="A474" s="1" t="s">
        <v>642</v>
      </c>
    </row>
    <row r="475" spans="1:1" x14ac:dyDescent="0.25">
      <c r="A475" s="1" t="s">
        <v>160</v>
      </c>
    </row>
    <row r="476" spans="1:1" x14ac:dyDescent="0.25">
      <c r="A476" s="1" t="s">
        <v>161</v>
      </c>
    </row>
    <row r="477" spans="1:1" x14ac:dyDescent="0.25">
      <c r="A477" s="1" t="s">
        <v>643</v>
      </c>
    </row>
    <row r="478" spans="1:1" x14ac:dyDescent="0.25">
      <c r="A478" s="1" t="s">
        <v>174</v>
      </c>
    </row>
    <row r="479" spans="1:1" x14ac:dyDescent="0.25">
      <c r="A479" s="1" t="s">
        <v>644</v>
      </c>
    </row>
    <row r="480" spans="1:1" x14ac:dyDescent="0.25">
      <c r="A480" s="1" t="s">
        <v>228</v>
      </c>
    </row>
    <row r="481" spans="1:1" x14ac:dyDescent="0.25">
      <c r="A481" s="1" t="s">
        <v>645</v>
      </c>
    </row>
    <row r="482" spans="1:1" x14ac:dyDescent="0.25">
      <c r="A482" s="1" t="s">
        <v>131</v>
      </c>
    </row>
    <row r="483" spans="1:1" x14ac:dyDescent="0.25">
      <c r="A483" s="1" t="s">
        <v>646</v>
      </c>
    </row>
    <row r="484" spans="1:1" x14ac:dyDescent="0.25">
      <c r="A484" s="1" t="s">
        <v>25</v>
      </c>
    </row>
    <row r="485" spans="1:1" x14ac:dyDescent="0.25">
      <c r="A485" s="1" t="s">
        <v>151</v>
      </c>
    </row>
    <row r="486" spans="1:1" x14ac:dyDescent="0.25">
      <c r="A486" s="1" t="s">
        <v>647</v>
      </c>
    </row>
    <row r="487" spans="1:1" x14ac:dyDescent="0.25">
      <c r="A487" s="1" t="s">
        <v>648</v>
      </c>
    </row>
    <row r="488" spans="1:1" x14ac:dyDescent="0.25">
      <c r="A488" s="1" t="s">
        <v>157</v>
      </c>
    </row>
    <row r="489" spans="1:1" x14ac:dyDescent="0.25">
      <c r="A489" s="1" t="s">
        <v>649</v>
      </c>
    </row>
    <row r="490" spans="1:1" x14ac:dyDescent="0.25">
      <c r="A490" s="1" t="s">
        <v>650</v>
      </c>
    </row>
    <row r="491" spans="1:1" x14ac:dyDescent="0.25">
      <c r="A491" s="1" t="s">
        <v>651</v>
      </c>
    </row>
    <row r="492" spans="1:1" x14ac:dyDescent="0.25">
      <c r="A492" s="1" t="s">
        <v>652</v>
      </c>
    </row>
    <row r="493" spans="1:1" x14ac:dyDescent="0.25">
      <c r="A493" s="1" t="s">
        <v>653</v>
      </c>
    </row>
    <row r="494" spans="1:1" x14ac:dyDescent="0.25">
      <c r="A494" s="1" t="s">
        <v>654</v>
      </c>
    </row>
    <row r="495" spans="1:1" x14ac:dyDescent="0.25">
      <c r="A495" s="1" t="s">
        <v>655</v>
      </c>
    </row>
    <row r="496" spans="1:1" x14ac:dyDescent="0.25">
      <c r="A496" s="1" t="s">
        <v>87</v>
      </c>
    </row>
    <row r="497" spans="1:1" x14ac:dyDescent="0.25">
      <c r="A497" s="1" t="s">
        <v>162</v>
      </c>
    </row>
    <row r="498" spans="1:1" x14ac:dyDescent="0.25">
      <c r="A498" s="1" t="s">
        <v>656</v>
      </c>
    </row>
    <row r="499" spans="1:1" x14ac:dyDescent="0.25">
      <c r="A499" s="1" t="s">
        <v>657</v>
      </c>
    </row>
    <row r="500" spans="1:1" x14ac:dyDescent="0.25">
      <c r="A500" s="1" t="s">
        <v>163</v>
      </c>
    </row>
    <row r="501" spans="1:1" x14ac:dyDescent="0.25">
      <c r="A501" s="1" t="s">
        <v>658</v>
      </c>
    </row>
    <row r="502" spans="1:1" x14ac:dyDescent="0.25">
      <c r="A502" s="1" t="s">
        <v>659</v>
      </c>
    </row>
    <row r="503" spans="1:1" x14ac:dyDescent="0.25">
      <c r="A503" s="1" t="s">
        <v>660</v>
      </c>
    </row>
    <row r="504" spans="1:1" x14ac:dyDescent="0.25">
      <c r="A504" s="1" t="s">
        <v>661</v>
      </c>
    </row>
    <row r="505" spans="1:1" x14ac:dyDescent="0.25">
      <c r="A505" s="1" t="s">
        <v>225</v>
      </c>
    </row>
    <row r="506" spans="1:1" x14ac:dyDescent="0.25">
      <c r="A506" s="1" t="s">
        <v>132</v>
      </c>
    </row>
    <row r="507" spans="1:1" x14ac:dyDescent="0.25">
      <c r="A507" s="1" t="s">
        <v>662</v>
      </c>
    </row>
    <row r="508" spans="1:1" x14ac:dyDescent="0.25">
      <c r="A508" s="1" t="s">
        <v>663</v>
      </c>
    </row>
    <row r="509" spans="1:1" x14ac:dyDescent="0.25">
      <c r="A509" s="1" t="s">
        <v>664</v>
      </c>
    </row>
    <row r="510" spans="1:1" x14ac:dyDescent="0.25">
      <c r="A510" s="1" t="s">
        <v>665</v>
      </c>
    </row>
    <row r="511" spans="1:1" x14ac:dyDescent="0.25">
      <c r="A511" s="1" t="s">
        <v>133</v>
      </c>
    </row>
    <row r="512" spans="1:1" x14ac:dyDescent="0.25">
      <c r="A512" s="1" t="s">
        <v>666</v>
      </c>
    </row>
    <row r="513" spans="1:1" x14ac:dyDescent="0.25">
      <c r="A513" s="1" t="s">
        <v>21</v>
      </c>
    </row>
    <row r="514" spans="1:1" x14ac:dyDescent="0.25">
      <c r="A514" s="1" t="s">
        <v>667</v>
      </c>
    </row>
    <row r="515" spans="1:1" x14ac:dyDescent="0.25">
      <c r="A515" s="1" t="s">
        <v>134</v>
      </c>
    </row>
    <row r="516" spans="1:1" x14ac:dyDescent="0.25">
      <c r="A516" s="1" t="s">
        <v>668</v>
      </c>
    </row>
    <row r="517" spans="1:1" x14ac:dyDescent="0.25">
      <c r="A517" s="1" t="s">
        <v>109</v>
      </c>
    </row>
    <row r="518" spans="1:1" x14ac:dyDescent="0.25">
      <c r="A518" s="1" t="s">
        <v>669</v>
      </c>
    </row>
    <row r="519" spans="1:1" x14ac:dyDescent="0.25">
      <c r="A519" s="1" t="s">
        <v>158</v>
      </c>
    </row>
    <row r="520" spans="1:1" x14ac:dyDescent="0.25">
      <c r="A520" s="1" t="s">
        <v>670</v>
      </c>
    </row>
    <row r="521" spans="1:1" x14ac:dyDescent="0.25">
      <c r="A521" s="1" t="s">
        <v>108</v>
      </c>
    </row>
    <row r="522" spans="1:1" x14ac:dyDescent="0.25">
      <c r="A522" s="1" t="s">
        <v>164</v>
      </c>
    </row>
    <row r="523" spans="1:1" x14ac:dyDescent="0.25">
      <c r="A523" s="1" t="s">
        <v>671</v>
      </c>
    </row>
    <row r="524" spans="1:1" x14ac:dyDescent="0.25">
      <c r="A524" s="1" t="s">
        <v>672</v>
      </c>
    </row>
    <row r="525" spans="1:1" x14ac:dyDescent="0.25">
      <c r="A525" s="1" t="s">
        <v>165</v>
      </c>
    </row>
    <row r="526" spans="1:1" x14ac:dyDescent="0.25">
      <c r="A526" s="1" t="s">
        <v>673</v>
      </c>
    </row>
    <row r="527" spans="1:1" x14ac:dyDescent="0.25">
      <c r="A527" s="1" t="s">
        <v>674</v>
      </c>
    </row>
    <row r="528" spans="1:1" x14ac:dyDescent="0.25">
      <c r="A528" s="1" t="s">
        <v>675</v>
      </c>
    </row>
    <row r="529" spans="1:1" x14ac:dyDescent="0.25">
      <c r="A529" s="1" t="s">
        <v>110</v>
      </c>
    </row>
    <row r="530" spans="1:1" x14ac:dyDescent="0.25">
      <c r="A530" s="1" t="s">
        <v>676</v>
      </c>
    </row>
    <row r="531" spans="1:1" x14ac:dyDescent="0.25">
      <c r="A531" s="1" t="s">
        <v>152</v>
      </c>
    </row>
    <row r="532" spans="1:1" x14ac:dyDescent="0.25">
      <c r="A532" s="1" t="s">
        <v>677</v>
      </c>
    </row>
    <row r="533" spans="1:1" x14ac:dyDescent="0.25">
      <c r="A533" s="1" t="s">
        <v>678</v>
      </c>
    </row>
    <row r="534" spans="1:1" x14ac:dyDescent="0.25">
      <c r="A534" s="1" t="s">
        <v>135</v>
      </c>
    </row>
    <row r="535" spans="1:1" x14ac:dyDescent="0.25">
      <c r="A535" s="1" t="s">
        <v>42</v>
      </c>
    </row>
    <row r="536" spans="1:1" x14ac:dyDescent="0.25">
      <c r="A536" s="1" t="s">
        <v>223</v>
      </c>
    </row>
    <row r="537" spans="1:1" x14ac:dyDescent="0.25">
      <c r="A537" s="1" t="s">
        <v>226</v>
      </c>
    </row>
    <row r="538" spans="1:1" x14ac:dyDescent="0.25">
      <c r="A538" s="1" t="s">
        <v>679</v>
      </c>
    </row>
    <row r="539" spans="1:1" x14ac:dyDescent="0.25">
      <c r="A539" s="1" t="s">
        <v>680</v>
      </c>
    </row>
    <row r="540" spans="1:1" x14ac:dyDescent="0.25">
      <c r="A540" s="1" t="s">
        <v>54</v>
      </c>
    </row>
    <row r="541" spans="1:1" x14ac:dyDescent="0.25">
      <c r="A541" s="1" t="s">
        <v>222</v>
      </c>
    </row>
    <row r="542" spans="1:1" x14ac:dyDescent="0.25">
      <c r="A542" s="1" t="s">
        <v>229</v>
      </c>
    </row>
    <row r="543" spans="1:1" x14ac:dyDescent="0.25">
      <c r="A543" s="1" t="s">
        <v>681</v>
      </c>
    </row>
    <row r="544" spans="1:1" x14ac:dyDescent="0.25">
      <c r="A544" s="1" t="s">
        <v>111</v>
      </c>
    </row>
    <row r="545" spans="1:1" x14ac:dyDescent="0.25">
      <c r="A545" s="1" t="s">
        <v>682</v>
      </c>
    </row>
    <row r="546" spans="1:1" x14ac:dyDescent="0.25">
      <c r="A546" s="1" t="s">
        <v>683</v>
      </c>
    </row>
    <row r="547" spans="1:1" x14ac:dyDescent="0.25">
      <c r="A547" s="1" t="s">
        <v>102</v>
      </c>
    </row>
    <row r="548" spans="1:1" x14ac:dyDescent="0.25">
      <c r="A548" s="1" t="s">
        <v>684</v>
      </c>
    </row>
    <row r="549" spans="1:1" x14ac:dyDescent="0.25">
      <c r="A549" s="1" t="s">
        <v>166</v>
      </c>
    </row>
    <row r="550" spans="1:1" x14ac:dyDescent="0.25">
      <c r="A550" s="1" t="s">
        <v>685</v>
      </c>
    </row>
    <row r="551" spans="1:1" x14ac:dyDescent="0.25">
      <c r="A551" s="1" t="s">
        <v>686</v>
      </c>
    </row>
    <row r="552" spans="1:1" x14ac:dyDescent="0.25">
      <c r="A552" s="1" t="s">
        <v>167</v>
      </c>
    </row>
    <row r="553" spans="1:1" x14ac:dyDescent="0.25">
      <c r="A553" s="1" t="s">
        <v>687</v>
      </c>
    </row>
    <row r="554" spans="1:1" x14ac:dyDescent="0.25">
      <c r="A554" s="1" t="s">
        <v>219</v>
      </c>
    </row>
    <row r="555" spans="1:1" x14ac:dyDescent="0.25">
      <c r="A555" s="1" t="s">
        <v>688</v>
      </c>
    </row>
    <row r="556" spans="1:1" x14ac:dyDescent="0.25">
      <c r="A556" s="1" t="s">
        <v>689</v>
      </c>
    </row>
    <row r="557" spans="1:1" x14ac:dyDescent="0.25">
      <c r="A557" s="1" t="s">
        <v>224</v>
      </c>
    </row>
    <row r="558" spans="1:1" x14ac:dyDescent="0.25">
      <c r="A558" s="1" t="s">
        <v>221</v>
      </c>
    </row>
    <row r="559" spans="1:1" x14ac:dyDescent="0.25">
      <c r="A559" s="1" t="s">
        <v>690</v>
      </c>
    </row>
    <row r="560" spans="1:1" x14ac:dyDescent="0.25">
      <c r="A560" s="1" t="s">
        <v>691</v>
      </c>
    </row>
    <row r="561" spans="1:1" x14ac:dyDescent="0.25">
      <c r="A561" s="1" t="s">
        <v>692</v>
      </c>
    </row>
    <row r="562" spans="1:1" x14ac:dyDescent="0.25">
      <c r="A562" s="1" t="s">
        <v>693</v>
      </c>
    </row>
    <row r="563" spans="1:1" x14ac:dyDescent="0.25">
      <c r="A563" s="1" t="s">
        <v>137</v>
      </c>
    </row>
    <row r="564" spans="1:1" x14ac:dyDescent="0.25">
      <c r="A564" s="1" t="s">
        <v>694</v>
      </c>
    </row>
    <row r="565" spans="1:1" x14ac:dyDescent="0.25">
      <c r="A565" s="1" t="s">
        <v>695</v>
      </c>
    </row>
    <row r="566" spans="1:1" x14ac:dyDescent="0.25">
      <c r="A566" s="1" t="s">
        <v>696</v>
      </c>
    </row>
    <row r="567" spans="1:1" x14ac:dyDescent="0.25">
      <c r="A567" s="1" t="s">
        <v>697</v>
      </c>
    </row>
    <row r="568" spans="1:1" x14ac:dyDescent="0.25">
      <c r="A568" s="1" t="s">
        <v>98</v>
      </c>
    </row>
    <row r="569" spans="1:1" x14ac:dyDescent="0.25">
      <c r="A569" s="1" t="s">
        <v>112</v>
      </c>
    </row>
    <row r="570" spans="1:1" x14ac:dyDescent="0.25">
      <c r="A570" s="1" t="s">
        <v>698</v>
      </c>
    </row>
    <row r="571" spans="1:1" x14ac:dyDescent="0.25">
      <c r="A571" s="1" t="s">
        <v>699</v>
      </c>
    </row>
    <row r="572" spans="1:1" x14ac:dyDescent="0.25">
      <c r="A572" s="1" t="s">
        <v>144</v>
      </c>
    </row>
    <row r="573" spans="1:1" x14ac:dyDescent="0.25">
      <c r="A573" s="1" t="s">
        <v>700</v>
      </c>
    </row>
    <row r="574" spans="1:1" x14ac:dyDescent="0.25">
      <c r="A574" s="1" t="s">
        <v>22</v>
      </c>
    </row>
    <row r="575" spans="1:1" x14ac:dyDescent="0.25">
      <c r="A575" s="1" t="s">
        <v>701</v>
      </c>
    </row>
    <row r="576" spans="1:1" x14ac:dyDescent="0.25">
      <c r="A576" s="1" t="s">
        <v>702</v>
      </c>
    </row>
    <row r="577" spans="1:1" x14ac:dyDescent="0.25">
      <c r="A577" s="1" t="s">
        <v>703</v>
      </c>
    </row>
    <row r="578" spans="1:1" x14ac:dyDescent="0.25">
      <c r="A578" s="1" t="s">
        <v>704</v>
      </c>
    </row>
    <row r="579" spans="1:1" x14ac:dyDescent="0.25">
      <c r="A579" s="1" t="s">
        <v>230</v>
      </c>
    </row>
    <row r="580" spans="1:1" x14ac:dyDescent="0.25">
      <c r="A580" s="1" t="s">
        <v>705</v>
      </c>
    </row>
    <row r="581" spans="1:1" x14ac:dyDescent="0.25">
      <c r="A581" s="1" t="s">
        <v>706</v>
      </c>
    </row>
    <row r="582" spans="1:1" x14ac:dyDescent="0.25">
      <c r="A582" s="1" t="s">
        <v>19</v>
      </c>
    </row>
    <row r="583" spans="1:1" x14ac:dyDescent="0.25">
      <c r="A583" s="1" t="s">
        <v>707</v>
      </c>
    </row>
    <row r="584" spans="1:1" x14ac:dyDescent="0.25">
      <c r="A584" s="1" t="s">
        <v>708</v>
      </c>
    </row>
    <row r="585" spans="1:1" x14ac:dyDescent="0.25">
      <c r="A585" s="1" t="s">
        <v>113</v>
      </c>
    </row>
    <row r="586" spans="1:1" x14ac:dyDescent="0.25">
      <c r="A586" s="1" t="s">
        <v>216</v>
      </c>
    </row>
    <row r="587" spans="1:1" x14ac:dyDescent="0.25">
      <c r="A587" s="1" t="s">
        <v>709</v>
      </c>
    </row>
    <row r="588" spans="1:1" x14ac:dyDescent="0.25">
      <c r="A588" s="1" t="s">
        <v>114</v>
      </c>
    </row>
    <row r="589" spans="1:1" x14ac:dyDescent="0.25">
      <c r="A589" s="1" t="s">
        <v>710</v>
      </c>
    </row>
    <row r="590" spans="1:1" x14ac:dyDescent="0.25">
      <c r="A590" s="1" t="s">
        <v>711</v>
      </c>
    </row>
    <row r="591" spans="1:1" x14ac:dyDescent="0.25">
      <c r="A591" s="1" t="s">
        <v>217</v>
      </c>
    </row>
    <row r="592" spans="1:1" x14ac:dyDescent="0.25">
      <c r="A592" s="1" t="s">
        <v>115</v>
      </c>
    </row>
    <row r="593" spans="1:1" x14ac:dyDescent="0.25">
      <c r="A593" s="1" t="s">
        <v>712</v>
      </c>
    </row>
    <row r="594" spans="1:1" x14ac:dyDescent="0.25">
      <c r="A594" s="1" t="s">
        <v>713</v>
      </c>
    </row>
    <row r="595" spans="1:1" x14ac:dyDescent="0.25">
      <c r="A595" s="1" t="s">
        <v>714</v>
      </c>
    </row>
    <row r="596" spans="1:1" x14ac:dyDescent="0.25">
      <c r="A596" s="1" t="s">
        <v>715</v>
      </c>
    </row>
    <row r="597" spans="1:1" x14ac:dyDescent="0.25">
      <c r="A597" s="1" t="s">
        <v>145</v>
      </c>
    </row>
    <row r="598" spans="1:1" x14ac:dyDescent="0.25">
      <c r="A598" s="1" t="s">
        <v>716</v>
      </c>
    </row>
    <row r="599" spans="1:1" x14ac:dyDescent="0.25">
      <c r="A599" s="1" t="s">
        <v>717</v>
      </c>
    </row>
    <row r="600" spans="1:1" x14ac:dyDescent="0.25">
      <c r="A600" s="1" t="s">
        <v>718</v>
      </c>
    </row>
    <row r="601" spans="1:1" x14ac:dyDescent="0.25">
      <c r="A601" s="1" t="s">
        <v>719</v>
      </c>
    </row>
    <row r="602" spans="1:1" x14ac:dyDescent="0.25">
      <c r="A602" s="1" t="s">
        <v>720</v>
      </c>
    </row>
    <row r="603" spans="1:1" x14ac:dyDescent="0.25">
      <c r="A603" s="1" t="s">
        <v>721</v>
      </c>
    </row>
    <row r="604" spans="1:1" x14ac:dyDescent="0.25">
      <c r="A604" s="1" t="s">
        <v>237</v>
      </c>
    </row>
    <row r="605" spans="1:1" x14ac:dyDescent="0.25">
      <c r="A605" s="1" t="s">
        <v>722</v>
      </c>
    </row>
    <row r="606" spans="1:1" x14ac:dyDescent="0.25">
      <c r="A606" s="1" t="s">
        <v>116</v>
      </c>
    </row>
    <row r="607" spans="1:1" x14ac:dyDescent="0.25">
      <c r="A607" s="1" t="s">
        <v>723</v>
      </c>
    </row>
    <row r="608" spans="1:1" x14ac:dyDescent="0.25">
      <c r="A608" s="1" t="s">
        <v>724</v>
      </c>
    </row>
    <row r="609" spans="1:1" x14ac:dyDescent="0.25">
      <c r="A609" s="1" t="s">
        <v>725</v>
      </c>
    </row>
    <row r="610" spans="1:1" x14ac:dyDescent="0.25">
      <c r="A610" s="1" t="s">
        <v>220</v>
      </c>
    </row>
    <row r="611" spans="1:1" x14ac:dyDescent="0.25">
      <c r="A611" s="1" t="s">
        <v>146</v>
      </c>
    </row>
    <row r="612" spans="1:1" x14ac:dyDescent="0.25">
      <c r="A612" s="1" t="s">
        <v>117</v>
      </c>
    </row>
    <row r="613" spans="1:1" x14ac:dyDescent="0.25">
      <c r="A613" s="1" t="s">
        <v>726</v>
      </c>
    </row>
    <row r="614" spans="1:1" x14ac:dyDescent="0.25">
      <c r="A614" s="1" t="s">
        <v>103</v>
      </c>
    </row>
    <row r="615" spans="1:1" x14ac:dyDescent="0.25">
      <c r="A615" s="1" t="s">
        <v>727</v>
      </c>
    </row>
    <row r="616" spans="1:1" x14ac:dyDescent="0.25">
      <c r="A616" s="1" t="s">
        <v>728</v>
      </c>
    </row>
    <row r="617" spans="1:1" x14ac:dyDescent="0.25">
      <c r="A617" s="1" t="s">
        <v>99</v>
      </c>
    </row>
    <row r="618" spans="1:1" x14ac:dyDescent="0.25">
      <c r="A618" s="1" t="s">
        <v>118</v>
      </c>
    </row>
    <row r="619" spans="1:1" x14ac:dyDescent="0.25">
      <c r="A619" s="1" t="s">
        <v>729</v>
      </c>
    </row>
    <row r="620" spans="1:1" x14ac:dyDescent="0.25">
      <c r="A620" s="1" t="s">
        <v>730</v>
      </c>
    </row>
    <row r="621" spans="1:1" x14ac:dyDescent="0.25">
      <c r="A621" s="1" t="s">
        <v>147</v>
      </c>
    </row>
    <row r="622" spans="1:1" x14ac:dyDescent="0.25">
      <c r="A622" s="1" t="s">
        <v>731</v>
      </c>
    </row>
    <row r="623" spans="1:1" x14ac:dyDescent="0.25">
      <c r="A623" s="1" t="s">
        <v>732</v>
      </c>
    </row>
    <row r="624" spans="1:1" x14ac:dyDescent="0.25">
      <c r="A624" s="1" t="s">
        <v>733</v>
      </c>
    </row>
    <row r="625" spans="1:1" x14ac:dyDescent="0.25">
      <c r="A625" s="1" t="s">
        <v>734</v>
      </c>
    </row>
    <row r="626" spans="1:1" x14ac:dyDescent="0.25">
      <c r="A626" s="1" t="s">
        <v>168</v>
      </c>
    </row>
    <row r="627" spans="1:1" x14ac:dyDescent="0.25">
      <c r="A627" s="1" t="s">
        <v>735</v>
      </c>
    </row>
    <row r="628" spans="1:1" x14ac:dyDescent="0.25">
      <c r="A628" s="1" t="s">
        <v>736</v>
      </c>
    </row>
    <row r="629" spans="1:1" x14ac:dyDescent="0.25">
      <c r="A629" s="1" t="s">
        <v>169</v>
      </c>
    </row>
    <row r="630" spans="1:1" x14ac:dyDescent="0.25">
      <c r="A630" s="1" t="s">
        <v>170</v>
      </c>
    </row>
    <row r="631" spans="1:1" x14ac:dyDescent="0.25">
      <c r="A631" s="1" t="s">
        <v>737</v>
      </c>
    </row>
    <row r="632" spans="1:1" x14ac:dyDescent="0.25">
      <c r="A632" s="1" t="s">
        <v>738</v>
      </c>
    </row>
    <row r="633" spans="1:1" x14ac:dyDescent="0.25">
      <c r="A633" s="1" t="s">
        <v>739</v>
      </c>
    </row>
    <row r="634" spans="1:1" x14ac:dyDescent="0.25">
      <c r="A634" s="1" t="s">
        <v>740</v>
      </c>
    </row>
    <row r="635" spans="1:1" x14ac:dyDescent="0.25">
      <c r="A635" s="1" t="s">
        <v>119</v>
      </c>
    </row>
    <row r="636" spans="1:1" x14ac:dyDescent="0.25">
      <c r="A636" s="1" t="s">
        <v>741</v>
      </c>
    </row>
    <row r="637" spans="1:1" x14ac:dyDescent="0.25">
      <c r="A637" s="1" t="s">
        <v>742</v>
      </c>
    </row>
    <row r="638" spans="1:1" x14ac:dyDescent="0.25">
      <c r="A638" s="1" t="s">
        <v>743</v>
      </c>
    </row>
    <row r="639" spans="1:1" x14ac:dyDescent="0.25">
      <c r="A639" s="1" t="s">
        <v>744</v>
      </c>
    </row>
    <row r="640" spans="1:1" x14ac:dyDescent="0.25">
      <c r="A640" s="1" t="s">
        <v>148</v>
      </c>
    </row>
    <row r="641" spans="1:1" x14ac:dyDescent="0.25">
      <c r="A641" s="1" t="s">
        <v>745</v>
      </c>
    </row>
    <row r="642" spans="1:1" x14ac:dyDescent="0.25">
      <c r="A642" s="1" t="s">
        <v>746</v>
      </c>
    </row>
    <row r="643" spans="1:1" x14ac:dyDescent="0.25">
      <c r="A643" s="1" t="s">
        <v>747</v>
      </c>
    </row>
    <row r="644" spans="1:1" x14ac:dyDescent="0.25">
      <c r="A644" s="1" t="s">
        <v>748</v>
      </c>
    </row>
    <row r="645" spans="1:1" x14ac:dyDescent="0.25">
      <c r="A645" s="1" t="s">
        <v>749</v>
      </c>
    </row>
    <row r="646" spans="1:1" x14ac:dyDescent="0.25">
      <c r="A646" s="1" t="s">
        <v>120</v>
      </c>
    </row>
    <row r="647" spans="1:1" x14ac:dyDescent="0.25">
      <c r="A647" s="1" t="s">
        <v>750</v>
      </c>
    </row>
    <row r="648" spans="1:1" x14ac:dyDescent="0.25">
      <c r="A648" s="1" t="s">
        <v>751</v>
      </c>
    </row>
    <row r="649" spans="1:1" x14ac:dyDescent="0.25">
      <c r="A649" s="1" t="s">
        <v>149</v>
      </c>
    </row>
    <row r="650" spans="1:1" x14ac:dyDescent="0.25">
      <c r="A650" s="1" t="s">
        <v>752</v>
      </c>
    </row>
    <row r="651" spans="1:1" x14ac:dyDescent="0.25">
      <c r="A651" s="1" t="s">
        <v>753</v>
      </c>
    </row>
    <row r="652" spans="1:1" x14ac:dyDescent="0.25">
      <c r="A652" s="1" t="s">
        <v>754</v>
      </c>
    </row>
    <row r="653" spans="1:1" x14ac:dyDescent="0.25">
      <c r="A653" s="1" t="s">
        <v>171</v>
      </c>
    </row>
    <row r="654" spans="1:1" x14ac:dyDescent="0.25">
      <c r="A654" s="1" t="s">
        <v>755</v>
      </c>
    </row>
    <row r="655" spans="1:1" x14ac:dyDescent="0.25">
      <c r="A655" s="1" t="s">
        <v>756</v>
      </c>
    </row>
    <row r="656" spans="1:1" x14ac:dyDescent="0.25">
      <c r="A656" s="1" t="s">
        <v>757</v>
      </c>
    </row>
    <row r="657" spans="1:1" x14ac:dyDescent="0.25">
      <c r="A657" s="1" t="s">
        <v>758</v>
      </c>
    </row>
    <row r="658" spans="1:1" x14ac:dyDescent="0.25">
      <c r="A658" s="1" t="s">
        <v>123</v>
      </c>
    </row>
    <row r="659" spans="1:1" x14ac:dyDescent="0.25">
      <c r="A659" s="1" t="s">
        <v>759</v>
      </c>
    </row>
    <row r="660" spans="1:1" x14ac:dyDescent="0.25">
      <c r="A660" s="1" t="s">
        <v>760</v>
      </c>
    </row>
    <row r="661" spans="1:1" x14ac:dyDescent="0.25">
      <c r="A661" s="1" t="s">
        <v>761</v>
      </c>
    </row>
    <row r="662" spans="1:1" x14ac:dyDescent="0.25">
      <c r="A662" s="1" t="s">
        <v>762</v>
      </c>
    </row>
    <row r="663" spans="1:1" x14ac:dyDescent="0.25">
      <c r="A663" s="1" t="s">
        <v>763</v>
      </c>
    </row>
    <row r="664" spans="1:1" x14ac:dyDescent="0.25">
      <c r="A664" s="1" t="s">
        <v>124</v>
      </c>
    </row>
    <row r="665" spans="1:1" x14ac:dyDescent="0.25">
      <c r="A665" s="1" t="s">
        <v>764</v>
      </c>
    </row>
    <row r="666" spans="1:1" x14ac:dyDescent="0.25">
      <c r="A666" s="1" t="s">
        <v>765</v>
      </c>
    </row>
    <row r="667" spans="1:1" x14ac:dyDescent="0.25">
      <c r="A667" s="1" t="s">
        <v>125</v>
      </c>
    </row>
    <row r="668" spans="1:1" x14ac:dyDescent="0.25">
      <c r="A668" s="1" t="s">
        <v>766</v>
      </c>
    </row>
    <row r="669" spans="1:1" x14ac:dyDescent="0.25">
      <c r="A669" s="1" t="s">
        <v>767</v>
      </c>
    </row>
    <row r="670" spans="1:1" x14ac:dyDescent="0.25">
      <c r="A670" s="1" t="s">
        <v>768</v>
      </c>
    </row>
    <row r="671" spans="1:1" x14ac:dyDescent="0.25">
      <c r="A671" s="1" t="s">
        <v>769</v>
      </c>
    </row>
    <row r="672" spans="1:1" x14ac:dyDescent="0.25">
      <c r="A672" s="1" t="s">
        <v>770</v>
      </c>
    </row>
    <row r="673" spans="1:1" x14ac:dyDescent="0.25">
      <c r="A673" s="1" t="s">
        <v>771</v>
      </c>
    </row>
    <row r="674" spans="1:1" x14ac:dyDescent="0.25">
      <c r="A674" s="1" t="s">
        <v>772</v>
      </c>
    </row>
    <row r="675" spans="1:1" x14ac:dyDescent="0.25">
      <c r="A675" s="1" t="s">
        <v>773</v>
      </c>
    </row>
    <row r="676" spans="1:1" x14ac:dyDescent="0.25">
      <c r="A676" s="1" t="s">
        <v>774</v>
      </c>
    </row>
    <row r="677" spans="1:1" x14ac:dyDescent="0.25">
      <c r="A677" s="1" t="s">
        <v>775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677"/>
  <sheetViews>
    <sheetView workbookViewId="0">
      <pane ySplit="1" topLeftCell="A2" activePane="bottomLeft" state="frozen"/>
      <selection activeCell="B28" sqref="B28"/>
      <selection pane="bottomLeft" activeCell="B28" sqref="B28"/>
    </sheetView>
  </sheetViews>
  <sheetFormatPr defaultRowHeight="15" x14ac:dyDescent="0.25"/>
  <cols>
    <col min="1" max="2" width="9.140625" style="1"/>
    <col min="3" max="3" width="11" style="1" bestFit="1" customWidth="1"/>
    <col min="4" max="4" width="9.85546875" style="1" bestFit="1" customWidth="1"/>
    <col min="5" max="5" width="10.140625" style="1" bestFit="1" customWidth="1"/>
    <col min="6" max="10" width="9.140625" style="1"/>
  </cols>
  <sheetData>
    <row r="1" spans="1:10" x14ac:dyDescent="0.25">
      <c r="A1" s="34" t="s">
        <v>256</v>
      </c>
      <c r="B1" s="34" t="s">
        <v>257</v>
      </c>
      <c r="C1" s="34" t="s">
        <v>258</v>
      </c>
      <c r="D1" s="34" t="s">
        <v>259</v>
      </c>
      <c r="E1" s="34" t="s">
        <v>260</v>
      </c>
      <c r="F1" s="34" t="s">
        <v>261</v>
      </c>
      <c r="G1" s="34" t="s">
        <v>262</v>
      </c>
      <c r="H1" s="34" t="s">
        <v>263</v>
      </c>
      <c r="I1" s="34" t="s">
        <v>264</v>
      </c>
      <c r="J1" s="34" t="s">
        <v>265</v>
      </c>
    </row>
    <row r="2" spans="1:10" x14ac:dyDescent="0.25">
      <c r="A2" s="1" t="s">
        <v>266</v>
      </c>
    </row>
    <row r="3" spans="1:10" x14ac:dyDescent="0.25">
      <c r="A3" s="1" t="s">
        <v>267</v>
      </c>
    </row>
    <row r="4" spans="1:10" x14ac:dyDescent="0.25">
      <c r="A4" s="1" t="s">
        <v>268</v>
      </c>
    </row>
    <row r="5" spans="1:10" x14ac:dyDescent="0.25">
      <c r="A5" s="1" t="s">
        <v>269</v>
      </c>
    </row>
    <row r="6" spans="1:10" x14ac:dyDescent="0.25">
      <c r="A6" s="1" t="s">
        <v>270</v>
      </c>
    </row>
    <row r="7" spans="1:10" x14ac:dyDescent="0.25">
      <c r="A7" s="1" t="s">
        <v>271</v>
      </c>
    </row>
    <row r="8" spans="1:10" x14ac:dyDescent="0.25">
      <c r="A8" s="1" t="s">
        <v>272</v>
      </c>
    </row>
    <row r="9" spans="1:10" x14ac:dyDescent="0.25">
      <c r="A9" s="1" t="s">
        <v>273</v>
      </c>
    </row>
    <row r="10" spans="1:10" x14ac:dyDescent="0.25">
      <c r="A10" s="1" t="s">
        <v>274</v>
      </c>
    </row>
    <row r="11" spans="1:10" x14ac:dyDescent="0.25">
      <c r="A11" s="1" t="s">
        <v>275</v>
      </c>
    </row>
    <row r="12" spans="1:10" x14ac:dyDescent="0.25">
      <c r="A12" s="1" t="s">
        <v>276</v>
      </c>
    </row>
    <row r="13" spans="1:10" x14ac:dyDescent="0.25">
      <c r="A13" s="1" t="s">
        <v>277</v>
      </c>
    </row>
    <row r="14" spans="1:10" x14ac:dyDescent="0.25">
      <c r="A14" s="1" t="s">
        <v>278</v>
      </c>
    </row>
    <row r="15" spans="1:10" x14ac:dyDescent="0.25">
      <c r="A15" s="1" t="s">
        <v>37</v>
      </c>
    </row>
    <row r="16" spans="1:10" x14ac:dyDescent="0.25">
      <c r="A16" s="1" t="s">
        <v>279</v>
      </c>
    </row>
    <row r="17" spans="1:1" x14ac:dyDescent="0.25">
      <c r="A17" s="1" t="s">
        <v>280</v>
      </c>
    </row>
    <row r="18" spans="1:1" x14ac:dyDescent="0.25">
      <c r="A18" s="1" t="s">
        <v>281</v>
      </c>
    </row>
    <row r="19" spans="1:1" x14ac:dyDescent="0.25">
      <c r="A19" s="1" t="s">
        <v>282</v>
      </c>
    </row>
    <row r="20" spans="1:1" x14ac:dyDescent="0.25">
      <c r="A20" s="1" t="s">
        <v>283</v>
      </c>
    </row>
    <row r="21" spans="1:1" x14ac:dyDescent="0.25">
      <c r="A21" s="1" t="s">
        <v>284</v>
      </c>
    </row>
    <row r="22" spans="1:1" x14ac:dyDescent="0.25">
      <c r="A22" s="1" t="s">
        <v>285</v>
      </c>
    </row>
    <row r="23" spans="1:1" x14ac:dyDescent="0.25">
      <c r="A23" s="1" t="s">
        <v>286</v>
      </c>
    </row>
    <row r="24" spans="1:1" x14ac:dyDescent="0.25">
      <c r="A24" s="1" t="s">
        <v>287</v>
      </c>
    </row>
    <row r="25" spans="1:1" x14ac:dyDescent="0.25">
      <c r="A25" s="1" t="s">
        <v>288</v>
      </c>
    </row>
    <row r="26" spans="1:1" x14ac:dyDescent="0.25">
      <c r="A26" s="1" t="s">
        <v>289</v>
      </c>
    </row>
    <row r="27" spans="1:1" x14ac:dyDescent="0.25">
      <c r="A27" s="1" t="s">
        <v>290</v>
      </c>
    </row>
    <row r="28" spans="1:1" x14ac:dyDescent="0.25">
      <c r="A28" s="1" t="s">
        <v>291</v>
      </c>
    </row>
    <row r="29" spans="1:1" x14ac:dyDescent="0.25">
      <c r="A29" s="1" t="s">
        <v>292</v>
      </c>
    </row>
    <row r="30" spans="1:1" x14ac:dyDescent="0.25">
      <c r="A30" s="1" t="s">
        <v>293</v>
      </c>
    </row>
    <row r="31" spans="1:1" x14ac:dyDescent="0.25">
      <c r="A31" s="1" t="s">
        <v>294</v>
      </c>
    </row>
    <row r="32" spans="1:1" x14ac:dyDescent="0.25">
      <c r="A32" s="1" t="s">
        <v>295</v>
      </c>
    </row>
    <row r="33" spans="1:1" x14ac:dyDescent="0.25">
      <c r="A33" s="1" t="s">
        <v>296</v>
      </c>
    </row>
    <row r="34" spans="1:1" x14ac:dyDescent="0.25">
      <c r="A34" s="1" t="s">
        <v>297</v>
      </c>
    </row>
    <row r="35" spans="1:1" x14ac:dyDescent="0.25">
      <c r="A35" s="1" t="s">
        <v>298</v>
      </c>
    </row>
    <row r="36" spans="1:1" x14ac:dyDescent="0.25">
      <c r="A36" s="1" t="s">
        <v>299</v>
      </c>
    </row>
    <row r="37" spans="1:1" x14ac:dyDescent="0.25">
      <c r="A37" s="1" t="s">
        <v>300</v>
      </c>
    </row>
    <row r="38" spans="1:1" x14ac:dyDescent="0.25">
      <c r="A38" s="1" t="s">
        <v>301</v>
      </c>
    </row>
    <row r="39" spans="1:1" x14ac:dyDescent="0.25">
      <c r="A39" s="1" t="s">
        <v>23</v>
      </c>
    </row>
    <row r="40" spans="1:1" x14ac:dyDescent="0.25">
      <c r="A40" s="1" t="s">
        <v>302</v>
      </c>
    </row>
    <row r="41" spans="1:1" x14ac:dyDescent="0.25">
      <c r="A41" s="1" t="s">
        <v>303</v>
      </c>
    </row>
    <row r="42" spans="1:1" x14ac:dyDescent="0.25">
      <c r="A42" s="1" t="s">
        <v>304</v>
      </c>
    </row>
    <row r="43" spans="1:1" x14ac:dyDescent="0.25">
      <c r="A43" s="1" t="s">
        <v>305</v>
      </c>
    </row>
    <row r="44" spans="1:1" x14ac:dyDescent="0.25">
      <c r="A44" s="1" t="s">
        <v>306</v>
      </c>
    </row>
    <row r="45" spans="1:1" x14ac:dyDescent="0.25">
      <c r="A45" s="1" t="s">
        <v>307</v>
      </c>
    </row>
    <row r="46" spans="1:1" x14ac:dyDescent="0.25">
      <c r="A46" s="1" t="s">
        <v>308</v>
      </c>
    </row>
    <row r="47" spans="1:1" x14ac:dyDescent="0.25">
      <c r="A47" s="1" t="s">
        <v>309</v>
      </c>
    </row>
    <row r="48" spans="1:1" x14ac:dyDescent="0.25">
      <c r="A48" s="1" t="s">
        <v>310</v>
      </c>
    </row>
    <row r="49" spans="1:1" x14ac:dyDescent="0.25">
      <c r="A49" s="1" t="s">
        <v>311</v>
      </c>
    </row>
    <row r="50" spans="1:1" x14ac:dyDescent="0.25">
      <c r="A50" s="1" t="s">
        <v>312</v>
      </c>
    </row>
    <row r="51" spans="1:1" x14ac:dyDescent="0.25">
      <c r="A51" s="1" t="s">
        <v>313</v>
      </c>
    </row>
    <row r="52" spans="1:1" x14ac:dyDescent="0.25">
      <c r="A52" s="1" t="s">
        <v>314</v>
      </c>
    </row>
    <row r="53" spans="1:1" x14ac:dyDescent="0.25">
      <c r="A53" s="1" t="s">
        <v>315</v>
      </c>
    </row>
    <row r="54" spans="1:1" x14ac:dyDescent="0.25">
      <c r="A54" s="1" t="s">
        <v>316</v>
      </c>
    </row>
    <row r="55" spans="1:1" x14ac:dyDescent="0.25">
      <c r="A55" s="1" t="s">
        <v>317</v>
      </c>
    </row>
    <row r="56" spans="1:1" x14ac:dyDescent="0.25">
      <c r="A56" s="1" t="s">
        <v>318</v>
      </c>
    </row>
    <row r="57" spans="1:1" x14ac:dyDescent="0.25">
      <c r="A57" s="1" t="s">
        <v>245</v>
      </c>
    </row>
    <row r="58" spans="1:1" x14ac:dyDescent="0.25">
      <c r="A58" s="1" t="s">
        <v>319</v>
      </c>
    </row>
    <row r="59" spans="1:1" x14ac:dyDescent="0.25">
      <c r="A59" s="1" t="s">
        <v>320</v>
      </c>
    </row>
    <row r="60" spans="1:1" x14ac:dyDescent="0.25">
      <c r="A60" s="1" t="s">
        <v>321</v>
      </c>
    </row>
    <row r="61" spans="1:1" x14ac:dyDescent="0.25">
      <c r="A61" s="1" t="s">
        <v>322</v>
      </c>
    </row>
    <row r="62" spans="1:1" x14ac:dyDescent="0.25">
      <c r="A62" s="1" t="s">
        <v>323</v>
      </c>
    </row>
    <row r="63" spans="1:1" x14ac:dyDescent="0.25">
      <c r="A63" s="1" t="s">
        <v>324</v>
      </c>
    </row>
    <row r="64" spans="1:1" x14ac:dyDescent="0.25">
      <c r="A64" s="1" t="s">
        <v>325</v>
      </c>
    </row>
    <row r="65" spans="1:1" x14ac:dyDescent="0.25">
      <c r="A65" s="1" t="s">
        <v>326</v>
      </c>
    </row>
    <row r="66" spans="1:1" x14ac:dyDescent="0.25">
      <c r="A66" s="1" t="s">
        <v>327</v>
      </c>
    </row>
    <row r="67" spans="1:1" x14ac:dyDescent="0.25">
      <c r="A67" s="1" t="s">
        <v>328</v>
      </c>
    </row>
    <row r="68" spans="1:1" x14ac:dyDescent="0.25">
      <c r="A68" s="1" t="s">
        <v>329</v>
      </c>
    </row>
    <row r="69" spans="1:1" x14ac:dyDescent="0.25">
      <c r="A69" s="1" t="s">
        <v>330</v>
      </c>
    </row>
    <row r="70" spans="1:1" x14ac:dyDescent="0.25">
      <c r="A70" s="1" t="s">
        <v>331</v>
      </c>
    </row>
    <row r="71" spans="1:1" x14ac:dyDescent="0.25">
      <c r="A71" s="1" t="s">
        <v>332</v>
      </c>
    </row>
    <row r="72" spans="1:1" x14ac:dyDescent="0.25">
      <c r="A72" s="1" t="s">
        <v>333</v>
      </c>
    </row>
    <row r="73" spans="1:1" x14ac:dyDescent="0.25">
      <c r="A73" s="1" t="s">
        <v>334</v>
      </c>
    </row>
    <row r="74" spans="1:1" x14ac:dyDescent="0.25">
      <c r="A74" s="1" t="s">
        <v>247</v>
      </c>
    </row>
    <row r="75" spans="1:1" x14ac:dyDescent="0.25">
      <c r="A75" s="1" t="s">
        <v>335</v>
      </c>
    </row>
    <row r="76" spans="1:1" x14ac:dyDescent="0.25">
      <c r="A76" s="1" t="s">
        <v>336</v>
      </c>
    </row>
    <row r="77" spans="1:1" x14ac:dyDescent="0.25">
      <c r="A77" s="1" t="s">
        <v>337</v>
      </c>
    </row>
    <row r="78" spans="1:1" x14ac:dyDescent="0.25">
      <c r="A78" s="1" t="s">
        <v>338</v>
      </c>
    </row>
    <row r="79" spans="1:1" x14ac:dyDescent="0.25">
      <c r="A79" s="1" t="s">
        <v>339</v>
      </c>
    </row>
    <row r="80" spans="1:1" x14ac:dyDescent="0.25">
      <c r="A80" s="1" t="s">
        <v>38</v>
      </c>
    </row>
    <row r="81" spans="1:1" x14ac:dyDescent="0.25">
      <c r="A81" s="1" t="s">
        <v>340</v>
      </c>
    </row>
    <row r="82" spans="1:1" x14ac:dyDescent="0.25">
      <c r="A82" s="1" t="s">
        <v>341</v>
      </c>
    </row>
    <row r="83" spans="1:1" x14ac:dyDescent="0.25">
      <c r="A83" s="1" t="s">
        <v>342</v>
      </c>
    </row>
    <row r="84" spans="1:1" x14ac:dyDescent="0.25">
      <c r="A84" s="1" t="s">
        <v>39</v>
      </c>
    </row>
    <row r="85" spans="1:1" x14ac:dyDescent="0.25">
      <c r="A85" s="1" t="s">
        <v>343</v>
      </c>
    </row>
    <row r="86" spans="1:1" x14ac:dyDescent="0.25">
      <c r="A86" s="1" t="s">
        <v>344</v>
      </c>
    </row>
    <row r="87" spans="1:1" x14ac:dyDescent="0.25">
      <c r="A87" s="1" t="s">
        <v>345</v>
      </c>
    </row>
    <row r="88" spans="1:1" x14ac:dyDescent="0.25">
      <c r="A88" s="1" t="s">
        <v>346</v>
      </c>
    </row>
    <row r="89" spans="1:1" x14ac:dyDescent="0.25">
      <c r="A89" s="1" t="s">
        <v>347</v>
      </c>
    </row>
    <row r="90" spans="1:1" x14ac:dyDescent="0.25">
      <c r="A90" s="1" t="s">
        <v>246</v>
      </c>
    </row>
    <row r="91" spans="1:1" x14ac:dyDescent="0.25">
      <c r="A91" s="1" t="s">
        <v>348</v>
      </c>
    </row>
    <row r="92" spans="1:1" x14ac:dyDescent="0.25">
      <c r="A92" s="1" t="s">
        <v>349</v>
      </c>
    </row>
    <row r="93" spans="1:1" x14ac:dyDescent="0.25">
      <c r="A93" s="1" t="s">
        <v>350</v>
      </c>
    </row>
    <row r="94" spans="1:1" x14ac:dyDescent="0.25">
      <c r="A94" s="1" t="s">
        <v>351</v>
      </c>
    </row>
    <row r="95" spans="1:1" x14ac:dyDescent="0.25">
      <c r="A95" s="1" t="s">
        <v>352</v>
      </c>
    </row>
    <row r="96" spans="1:1" x14ac:dyDescent="0.25">
      <c r="A96" s="1" t="s">
        <v>353</v>
      </c>
    </row>
    <row r="97" spans="1:1" x14ac:dyDescent="0.25">
      <c r="A97" s="1" t="s">
        <v>354</v>
      </c>
    </row>
    <row r="98" spans="1:1" x14ac:dyDescent="0.25">
      <c r="A98" s="1" t="s">
        <v>355</v>
      </c>
    </row>
    <row r="99" spans="1:1" x14ac:dyDescent="0.25">
      <c r="A99" s="1" t="s">
        <v>356</v>
      </c>
    </row>
    <row r="100" spans="1:1" x14ac:dyDescent="0.25">
      <c r="A100" s="1" t="s">
        <v>357</v>
      </c>
    </row>
    <row r="101" spans="1:1" x14ac:dyDescent="0.25">
      <c r="A101" s="1" t="s">
        <v>358</v>
      </c>
    </row>
    <row r="102" spans="1:1" x14ac:dyDescent="0.25">
      <c r="A102" s="1" t="s">
        <v>18</v>
      </c>
    </row>
    <row r="103" spans="1:1" x14ac:dyDescent="0.25">
      <c r="A103" s="1" t="s">
        <v>359</v>
      </c>
    </row>
    <row r="104" spans="1:1" x14ac:dyDescent="0.25">
      <c r="A104" s="1" t="s">
        <v>360</v>
      </c>
    </row>
    <row r="105" spans="1:1" x14ac:dyDescent="0.25">
      <c r="A105" s="1" t="s">
        <v>361</v>
      </c>
    </row>
    <row r="106" spans="1:1" x14ac:dyDescent="0.25">
      <c r="A106" s="1" t="s">
        <v>362</v>
      </c>
    </row>
    <row r="107" spans="1:1" x14ac:dyDescent="0.25">
      <c r="A107" s="1" t="s">
        <v>363</v>
      </c>
    </row>
    <row r="108" spans="1:1" x14ac:dyDescent="0.25">
      <c r="A108" s="1" t="s">
        <v>364</v>
      </c>
    </row>
    <row r="109" spans="1:1" x14ac:dyDescent="0.25">
      <c r="A109" s="1" t="s">
        <v>365</v>
      </c>
    </row>
    <row r="110" spans="1:1" x14ac:dyDescent="0.25">
      <c r="A110" s="1" t="s">
        <v>366</v>
      </c>
    </row>
    <row r="111" spans="1:1" x14ac:dyDescent="0.25">
      <c r="A111" s="1" t="s">
        <v>367</v>
      </c>
    </row>
    <row r="112" spans="1:1" x14ac:dyDescent="0.25">
      <c r="A112" s="1" t="s">
        <v>368</v>
      </c>
    </row>
    <row r="113" spans="1:1" x14ac:dyDescent="0.25">
      <c r="A113" s="1" t="s">
        <v>369</v>
      </c>
    </row>
    <row r="114" spans="1:1" x14ac:dyDescent="0.25">
      <c r="A114" s="1" t="s">
        <v>370</v>
      </c>
    </row>
    <row r="115" spans="1:1" x14ac:dyDescent="0.25">
      <c r="A115" s="1" t="s">
        <v>371</v>
      </c>
    </row>
    <row r="116" spans="1:1" x14ac:dyDescent="0.25">
      <c r="A116" s="1" t="s">
        <v>372</v>
      </c>
    </row>
    <row r="117" spans="1:1" x14ac:dyDescent="0.25">
      <c r="A117" s="1" t="s">
        <v>17</v>
      </c>
    </row>
    <row r="118" spans="1:1" x14ac:dyDescent="0.25">
      <c r="A118" s="1" t="s">
        <v>373</v>
      </c>
    </row>
    <row r="119" spans="1:1" x14ac:dyDescent="0.25">
      <c r="A119" s="1" t="s">
        <v>374</v>
      </c>
    </row>
    <row r="120" spans="1:1" x14ac:dyDescent="0.25">
      <c r="A120" s="1" t="s">
        <v>375</v>
      </c>
    </row>
    <row r="121" spans="1:1" x14ac:dyDescent="0.25">
      <c r="A121" s="1" t="s">
        <v>376</v>
      </c>
    </row>
    <row r="122" spans="1:1" x14ac:dyDescent="0.25">
      <c r="A122" s="1" t="s">
        <v>377</v>
      </c>
    </row>
    <row r="123" spans="1:1" x14ac:dyDescent="0.25">
      <c r="A123" s="1" t="s">
        <v>378</v>
      </c>
    </row>
    <row r="124" spans="1:1" x14ac:dyDescent="0.25">
      <c r="A124" s="1" t="s">
        <v>379</v>
      </c>
    </row>
    <row r="125" spans="1:1" x14ac:dyDescent="0.25">
      <c r="A125" s="1" t="s">
        <v>380</v>
      </c>
    </row>
    <row r="126" spans="1:1" x14ac:dyDescent="0.25">
      <c r="A126" s="1" t="s">
        <v>381</v>
      </c>
    </row>
    <row r="127" spans="1:1" x14ac:dyDescent="0.25">
      <c r="A127" s="1" t="s">
        <v>382</v>
      </c>
    </row>
    <row r="128" spans="1:1" x14ac:dyDescent="0.25">
      <c r="A128" s="1" t="s">
        <v>383</v>
      </c>
    </row>
    <row r="129" spans="1:1" x14ac:dyDescent="0.25">
      <c r="A129" s="1" t="s">
        <v>384</v>
      </c>
    </row>
    <row r="130" spans="1:1" x14ac:dyDescent="0.25">
      <c r="A130" s="1" t="s">
        <v>385</v>
      </c>
    </row>
    <row r="131" spans="1:1" x14ac:dyDescent="0.25">
      <c r="A131" s="1" t="s">
        <v>386</v>
      </c>
    </row>
    <row r="132" spans="1:1" x14ac:dyDescent="0.25">
      <c r="A132" s="1" t="s">
        <v>387</v>
      </c>
    </row>
    <row r="133" spans="1:1" x14ac:dyDescent="0.25">
      <c r="A133" s="1" t="s">
        <v>388</v>
      </c>
    </row>
    <row r="134" spans="1:1" x14ac:dyDescent="0.25">
      <c r="A134" s="1" t="s">
        <v>389</v>
      </c>
    </row>
    <row r="135" spans="1:1" x14ac:dyDescent="0.25">
      <c r="A135" s="1" t="s">
        <v>390</v>
      </c>
    </row>
    <row r="136" spans="1:1" x14ac:dyDescent="0.25">
      <c r="A136" s="1" t="s">
        <v>391</v>
      </c>
    </row>
    <row r="137" spans="1:1" x14ac:dyDescent="0.25">
      <c r="A137" s="1" t="s">
        <v>392</v>
      </c>
    </row>
    <row r="138" spans="1:1" x14ac:dyDescent="0.25">
      <c r="A138" s="1" t="s">
        <v>393</v>
      </c>
    </row>
    <row r="139" spans="1:1" x14ac:dyDescent="0.25">
      <c r="A139" s="1" t="s">
        <v>394</v>
      </c>
    </row>
    <row r="140" spans="1:1" x14ac:dyDescent="0.25">
      <c r="A140" s="1" t="s">
        <v>395</v>
      </c>
    </row>
    <row r="141" spans="1:1" x14ac:dyDescent="0.25">
      <c r="A141" s="1" t="s">
        <v>396</v>
      </c>
    </row>
    <row r="142" spans="1:1" x14ac:dyDescent="0.25">
      <c r="A142" s="1" t="s">
        <v>397</v>
      </c>
    </row>
    <row r="143" spans="1:1" x14ac:dyDescent="0.25">
      <c r="A143" s="1" t="s">
        <v>398</v>
      </c>
    </row>
    <row r="144" spans="1:1" x14ac:dyDescent="0.25">
      <c r="A144" s="1" t="s">
        <v>399</v>
      </c>
    </row>
    <row r="145" spans="1:1" x14ac:dyDescent="0.25">
      <c r="A145" s="1" t="s">
        <v>400</v>
      </c>
    </row>
    <row r="146" spans="1:1" x14ac:dyDescent="0.25">
      <c r="A146" s="1" t="s">
        <v>401</v>
      </c>
    </row>
    <row r="147" spans="1:1" x14ac:dyDescent="0.25">
      <c r="A147" s="1" t="s">
        <v>402</v>
      </c>
    </row>
    <row r="148" spans="1:1" x14ac:dyDescent="0.25">
      <c r="A148" s="1" t="s">
        <v>403</v>
      </c>
    </row>
    <row r="149" spans="1:1" x14ac:dyDescent="0.25">
      <c r="A149" s="1" t="s">
        <v>404</v>
      </c>
    </row>
    <row r="150" spans="1:1" x14ac:dyDescent="0.25">
      <c r="A150" s="1" t="s">
        <v>405</v>
      </c>
    </row>
    <row r="151" spans="1:1" x14ac:dyDescent="0.25">
      <c r="A151" s="1" t="s">
        <v>406</v>
      </c>
    </row>
    <row r="152" spans="1:1" x14ac:dyDescent="0.25">
      <c r="A152" s="1" t="s">
        <v>407</v>
      </c>
    </row>
    <row r="153" spans="1:1" x14ac:dyDescent="0.25">
      <c r="A153" s="1" t="s">
        <v>408</v>
      </c>
    </row>
    <row r="154" spans="1:1" x14ac:dyDescent="0.25">
      <c r="A154" s="1" t="s">
        <v>409</v>
      </c>
    </row>
    <row r="155" spans="1:1" x14ac:dyDescent="0.25">
      <c r="A155" s="1" t="s">
        <v>410</v>
      </c>
    </row>
    <row r="156" spans="1:1" x14ac:dyDescent="0.25">
      <c r="A156" s="1" t="s">
        <v>411</v>
      </c>
    </row>
    <row r="157" spans="1:1" x14ac:dyDescent="0.25">
      <c r="A157" s="1" t="s">
        <v>412</v>
      </c>
    </row>
    <row r="158" spans="1:1" x14ac:dyDescent="0.25">
      <c r="A158" s="1" t="s">
        <v>413</v>
      </c>
    </row>
    <row r="159" spans="1:1" x14ac:dyDescent="0.25">
      <c r="A159" s="1" t="s">
        <v>414</v>
      </c>
    </row>
    <row r="160" spans="1:1" x14ac:dyDescent="0.25">
      <c r="A160" s="1" t="s">
        <v>415</v>
      </c>
    </row>
    <row r="161" spans="1:1" x14ac:dyDescent="0.25">
      <c r="A161" s="1" t="s">
        <v>416</v>
      </c>
    </row>
    <row r="162" spans="1:1" x14ac:dyDescent="0.25">
      <c r="A162" s="1" t="s">
        <v>417</v>
      </c>
    </row>
    <row r="163" spans="1:1" x14ac:dyDescent="0.25">
      <c r="A163" s="1" t="s">
        <v>418</v>
      </c>
    </row>
    <row r="164" spans="1:1" x14ac:dyDescent="0.25">
      <c r="A164" s="1" t="s">
        <v>419</v>
      </c>
    </row>
    <row r="165" spans="1:1" x14ac:dyDescent="0.25">
      <c r="A165" s="1" t="s">
        <v>420</v>
      </c>
    </row>
    <row r="166" spans="1:1" x14ac:dyDescent="0.25">
      <c r="A166" s="1" t="s">
        <v>40</v>
      </c>
    </row>
    <row r="167" spans="1:1" x14ac:dyDescent="0.25">
      <c r="A167" s="1" t="s">
        <v>421</v>
      </c>
    </row>
    <row r="168" spans="1:1" x14ac:dyDescent="0.25">
      <c r="A168" s="1" t="s">
        <v>422</v>
      </c>
    </row>
    <row r="169" spans="1:1" x14ac:dyDescent="0.25">
      <c r="A169" s="1" t="s">
        <v>423</v>
      </c>
    </row>
    <row r="170" spans="1:1" x14ac:dyDescent="0.25">
      <c r="A170" s="1" t="s">
        <v>424</v>
      </c>
    </row>
    <row r="171" spans="1:1" x14ac:dyDescent="0.25">
      <c r="A171" s="1" t="s">
        <v>20</v>
      </c>
    </row>
    <row r="172" spans="1:1" x14ac:dyDescent="0.25">
      <c r="A172" s="1" t="s">
        <v>425</v>
      </c>
    </row>
    <row r="173" spans="1:1" x14ac:dyDescent="0.25">
      <c r="A173" s="1" t="s">
        <v>426</v>
      </c>
    </row>
    <row r="174" spans="1:1" x14ac:dyDescent="0.25">
      <c r="A174" s="1" t="s">
        <v>427</v>
      </c>
    </row>
    <row r="175" spans="1:1" x14ac:dyDescent="0.25">
      <c r="A175" s="1" t="s">
        <v>428</v>
      </c>
    </row>
    <row r="176" spans="1:1" x14ac:dyDescent="0.25">
      <c r="A176" s="1" t="s">
        <v>429</v>
      </c>
    </row>
    <row r="177" spans="1:1" x14ac:dyDescent="0.25">
      <c r="A177" s="1" t="s">
        <v>430</v>
      </c>
    </row>
    <row r="178" spans="1:1" x14ac:dyDescent="0.25">
      <c r="A178" s="1" t="s">
        <v>431</v>
      </c>
    </row>
    <row r="179" spans="1:1" x14ac:dyDescent="0.25">
      <c r="A179" s="1" t="s">
        <v>432</v>
      </c>
    </row>
    <row r="180" spans="1:1" x14ac:dyDescent="0.25">
      <c r="A180" s="1" t="s">
        <v>433</v>
      </c>
    </row>
    <row r="181" spans="1:1" x14ac:dyDescent="0.25">
      <c r="A181" s="1" t="s">
        <v>434</v>
      </c>
    </row>
    <row r="182" spans="1:1" x14ac:dyDescent="0.25">
      <c r="A182" s="1" t="s">
        <v>435</v>
      </c>
    </row>
    <row r="183" spans="1:1" x14ac:dyDescent="0.25">
      <c r="A183" s="1" t="s">
        <v>436</v>
      </c>
    </row>
    <row r="184" spans="1:1" x14ac:dyDescent="0.25">
      <c r="A184" s="1" t="s">
        <v>437</v>
      </c>
    </row>
    <row r="185" spans="1:1" x14ac:dyDescent="0.25">
      <c r="A185" s="1" t="s">
        <v>438</v>
      </c>
    </row>
    <row r="186" spans="1:1" x14ac:dyDescent="0.25">
      <c r="A186" s="1" t="s">
        <v>439</v>
      </c>
    </row>
    <row r="187" spans="1:1" x14ac:dyDescent="0.25">
      <c r="A187" s="1" t="s">
        <v>440</v>
      </c>
    </row>
    <row r="188" spans="1:1" x14ac:dyDescent="0.25">
      <c r="A188" s="1" t="s">
        <v>441</v>
      </c>
    </row>
    <row r="189" spans="1:1" x14ac:dyDescent="0.25">
      <c r="A189" s="1" t="s">
        <v>442</v>
      </c>
    </row>
    <row r="190" spans="1:1" x14ac:dyDescent="0.25">
      <c r="A190" s="1" t="s">
        <v>443</v>
      </c>
    </row>
    <row r="191" spans="1:1" x14ac:dyDescent="0.25">
      <c r="A191" s="1" t="s">
        <v>177</v>
      </c>
    </row>
    <row r="192" spans="1:1" x14ac:dyDescent="0.25">
      <c r="A192" s="1" t="s">
        <v>444</v>
      </c>
    </row>
    <row r="193" spans="1:1" x14ac:dyDescent="0.25">
      <c r="A193" s="1" t="s">
        <v>178</v>
      </c>
    </row>
    <row r="194" spans="1:1" x14ac:dyDescent="0.25">
      <c r="A194" s="1" t="s">
        <v>179</v>
      </c>
    </row>
    <row r="195" spans="1:1" x14ac:dyDescent="0.25">
      <c r="A195" s="1" t="s">
        <v>445</v>
      </c>
    </row>
    <row r="196" spans="1:1" x14ac:dyDescent="0.25">
      <c r="A196" s="1" t="s">
        <v>446</v>
      </c>
    </row>
    <row r="197" spans="1:1" x14ac:dyDescent="0.25">
      <c r="A197" s="1" t="s">
        <v>447</v>
      </c>
    </row>
    <row r="198" spans="1:1" x14ac:dyDescent="0.25">
      <c r="A198" s="1" t="s">
        <v>180</v>
      </c>
    </row>
    <row r="199" spans="1:1" x14ac:dyDescent="0.25">
      <c r="A199" s="1" t="s">
        <v>448</v>
      </c>
    </row>
    <row r="200" spans="1:1" x14ac:dyDescent="0.25">
      <c r="A200" s="1" t="s">
        <v>449</v>
      </c>
    </row>
    <row r="201" spans="1:1" x14ac:dyDescent="0.25">
      <c r="A201" s="1" t="s">
        <v>450</v>
      </c>
    </row>
    <row r="202" spans="1:1" x14ac:dyDescent="0.25">
      <c r="A202" s="1" t="s">
        <v>100</v>
      </c>
    </row>
    <row r="203" spans="1:1" x14ac:dyDescent="0.25">
      <c r="A203" s="1" t="s">
        <v>451</v>
      </c>
    </row>
    <row r="204" spans="1:1" x14ac:dyDescent="0.25">
      <c r="A204" s="1" t="s">
        <v>127</v>
      </c>
    </row>
    <row r="205" spans="1:1" x14ac:dyDescent="0.25">
      <c r="A205" s="1" t="s">
        <v>452</v>
      </c>
    </row>
    <row r="206" spans="1:1" x14ac:dyDescent="0.25">
      <c r="A206" s="1" t="s">
        <v>453</v>
      </c>
    </row>
    <row r="207" spans="1:1" x14ac:dyDescent="0.25">
      <c r="A207" s="1" t="s">
        <v>454</v>
      </c>
    </row>
    <row r="208" spans="1:1" x14ac:dyDescent="0.25">
      <c r="A208" s="1" t="s">
        <v>455</v>
      </c>
    </row>
    <row r="209" spans="1:1" x14ac:dyDescent="0.25">
      <c r="A209" s="1" t="s">
        <v>456</v>
      </c>
    </row>
    <row r="210" spans="1:1" x14ac:dyDescent="0.25">
      <c r="A210" s="1" t="s">
        <v>457</v>
      </c>
    </row>
    <row r="211" spans="1:1" x14ac:dyDescent="0.25">
      <c r="A211" s="1" t="s">
        <v>458</v>
      </c>
    </row>
    <row r="212" spans="1:1" x14ac:dyDescent="0.25">
      <c r="A212" s="1" t="s">
        <v>459</v>
      </c>
    </row>
    <row r="213" spans="1:1" x14ac:dyDescent="0.25">
      <c r="A213" s="1" t="s">
        <v>191</v>
      </c>
    </row>
    <row r="214" spans="1:1" x14ac:dyDescent="0.25">
      <c r="A214" s="1" t="s">
        <v>460</v>
      </c>
    </row>
    <row r="215" spans="1:1" x14ac:dyDescent="0.25">
      <c r="A215" s="1" t="s">
        <v>461</v>
      </c>
    </row>
    <row r="216" spans="1:1" x14ac:dyDescent="0.25">
      <c r="A216" s="1" t="s">
        <v>192</v>
      </c>
    </row>
    <row r="217" spans="1:1" x14ac:dyDescent="0.25">
      <c r="A217" s="1" t="s">
        <v>462</v>
      </c>
    </row>
    <row r="218" spans="1:1" x14ac:dyDescent="0.25">
      <c r="A218" s="1" t="s">
        <v>181</v>
      </c>
    </row>
    <row r="219" spans="1:1" x14ac:dyDescent="0.25">
      <c r="A219" s="1" t="s">
        <v>463</v>
      </c>
    </row>
    <row r="220" spans="1:1" x14ac:dyDescent="0.25">
      <c r="A220" s="1" t="s">
        <v>464</v>
      </c>
    </row>
    <row r="221" spans="1:1" x14ac:dyDescent="0.25">
      <c r="A221" s="1" t="s">
        <v>465</v>
      </c>
    </row>
    <row r="222" spans="1:1" x14ac:dyDescent="0.25">
      <c r="A222" s="1" t="s">
        <v>466</v>
      </c>
    </row>
    <row r="223" spans="1:1" x14ac:dyDescent="0.25">
      <c r="A223" s="1" t="s">
        <v>182</v>
      </c>
    </row>
    <row r="224" spans="1:1" x14ac:dyDescent="0.25">
      <c r="A224" s="1" t="s">
        <v>467</v>
      </c>
    </row>
    <row r="225" spans="1:1" x14ac:dyDescent="0.25">
      <c r="A225" s="1" t="s">
        <v>468</v>
      </c>
    </row>
    <row r="226" spans="1:1" x14ac:dyDescent="0.25">
      <c r="A226" s="1" t="s">
        <v>205</v>
      </c>
    </row>
    <row r="227" spans="1:1" x14ac:dyDescent="0.25">
      <c r="A227" s="1" t="s">
        <v>469</v>
      </c>
    </row>
    <row r="228" spans="1:1" x14ac:dyDescent="0.25">
      <c r="A228" s="1" t="s">
        <v>470</v>
      </c>
    </row>
    <row r="229" spans="1:1" x14ac:dyDescent="0.25">
      <c r="A229" s="1" t="s">
        <v>471</v>
      </c>
    </row>
    <row r="230" spans="1:1" x14ac:dyDescent="0.25">
      <c r="A230" s="1" t="s">
        <v>472</v>
      </c>
    </row>
    <row r="231" spans="1:1" x14ac:dyDescent="0.25">
      <c r="A231" s="1" t="s">
        <v>206</v>
      </c>
    </row>
    <row r="232" spans="1:1" x14ac:dyDescent="0.25">
      <c r="A232" s="1" t="s">
        <v>473</v>
      </c>
    </row>
    <row r="233" spans="1:1" x14ac:dyDescent="0.25">
      <c r="A233" s="1" t="s">
        <v>474</v>
      </c>
    </row>
    <row r="234" spans="1:1" x14ac:dyDescent="0.25">
      <c r="A234" s="1" t="s">
        <v>475</v>
      </c>
    </row>
    <row r="235" spans="1:1" x14ac:dyDescent="0.25">
      <c r="A235" s="1" t="s">
        <v>476</v>
      </c>
    </row>
    <row r="236" spans="1:1" x14ac:dyDescent="0.25">
      <c r="A236" s="1" t="s">
        <v>477</v>
      </c>
    </row>
    <row r="237" spans="1:1" x14ac:dyDescent="0.25">
      <c r="A237" s="1" t="s">
        <v>478</v>
      </c>
    </row>
    <row r="238" spans="1:1" x14ac:dyDescent="0.25">
      <c r="A238" s="1" t="s">
        <v>84</v>
      </c>
    </row>
    <row r="239" spans="1:1" x14ac:dyDescent="0.25">
      <c r="A239" s="1" t="s">
        <v>479</v>
      </c>
    </row>
    <row r="240" spans="1:1" x14ac:dyDescent="0.25">
      <c r="A240" s="1" t="s">
        <v>480</v>
      </c>
    </row>
    <row r="241" spans="1:1" x14ac:dyDescent="0.25">
      <c r="A241" s="1" t="s">
        <v>193</v>
      </c>
    </row>
    <row r="242" spans="1:1" x14ac:dyDescent="0.25">
      <c r="A242" s="1" t="s">
        <v>481</v>
      </c>
    </row>
    <row r="243" spans="1:1" x14ac:dyDescent="0.25">
      <c r="A243" s="1" t="s">
        <v>482</v>
      </c>
    </row>
    <row r="244" spans="1:1" x14ac:dyDescent="0.25">
      <c r="A244" s="1" t="s">
        <v>483</v>
      </c>
    </row>
    <row r="245" spans="1:1" x14ac:dyDescent="0.25">
      <c r="A245" s="1" t="s">
        <v>183</v>
      </c>
    </row>
    <row r="246" spans="1:1" x14ac:dyDescent="0.25">
      <c r="A246" s="1" t="s">
        <v>484</v>
      </c>
    </row>
    <row r="247" spans="1:1" x14ac:dyDescent="0.25">
      <c r="A247" s="1" t="s">
        <v>485</v>
      </c>
    </row>
    <row r="248" spans="1:1" x14ac:dyDescent="0.25">
      <c r="A248" s="1" t="s">
        <v>486</v>
      </c>
    </row>
    <row r="249" spans="1:1" x14ac:dyDescent="0.25">
      <c r="A249" s="1" t="s">
        <v>487</v>
      </c>
    </row>
    <row r="250" spans="1:1" x14ac:dyDescent="0.25">
      <c r="A250" s="1" t="s">
        <v>184</v>
      </c>
    </row>
    <row r="251" spans="1:1" x14ac:dyDescent="0.25">
      <c r="A251" s="1" t="s">
        <v>488</v>
      </c>
    </row>
    <row r="252" spans="1:1" x14ac:dyDescent="0.25">
      <c r="A252" s="1" t="s">
        <v>489</v>
      </c>
    </row>
    <row r="253" spans="1:1" x14ac:dyDescent="0.25">
      <c r="A253" s="1" t="s">
        <v>207</v>
      </c>
    </row>
    <row r="254" spans="1:1" x14ac:dyDescent="0.25">
      <c r="A254" s="1" t="s">
        <v>208</v>
      </c>
    </row>
    <row r="255" spans="1:1" x14ac:dyDescent="0.25">
      <c r="A255" s="1" t="s">
        <v>490</v>
      </c>
    </row>
    <row r="256" spans="1:1" x14ac:dyDescent="0.25">
      <c r="A256" s="1" t="s">
        <v>491</v>
      </c>
    </row>
    <row r="257" spans="1:1" x14ac:dyDescent="0.25">
      <c r="A257" s="1" t="s">
        <v>492</v>
      </c>
    </row>
    <row r="258" spans="1:1" x14ac:dyDescent="0.25">
      <c r="A258" s="1" t="s">
        <v>209</v>
      </c>
    </row>
    <row r="259" spans="1:1" x14ac:dyDescent="0.25">
      <c r="A259" s="1" t="s">
        <v>493</v>
      </c>
    </row>
    <row r="260" spans="1:1" x14ac:dyDescent="0.25">
      <c r="A260" s="1" t="s">
        <v>494</v>
      </c>
    </row>
    <row r="261" spans="1:1" x14ac:dyDescent="0.25">
      <c r="A261" s="1" t="s">
        <v>104</v>
      </c>
    </row>
    <row r="262" spans="1:1" x14ac:dyDescent="0.25">
      <c r="A262" s="1" t="s">
        <v>194</v>
      </c>
    </row>
    <row r="263" spans="1:1" x14ac:dyDescent="0.25">
      <c r="A263" s="1" t="s">
        <v>495</v>
      </c>
    </row>
    <row r="264" spans="1:1" x14ac:dyDescent="0.25">
      <c r="A264" s="1" t="s">
        <v>496</v>
      </c>
    </row>
    <row r="265" spans="1:1" x14ac:dyDescent="0.25">
      <c r="A265" s="1" t="s">
        <v>497</v>
      </c>
    </row>
    <row r="266" spans="1:1" x14ac:dyDescent="0.25">
      <c r="A266" s="1" t="s">
        <v>195</v>
      </c>
    </row>
    <row r="267" spans="1:1" x14ac:dyDescent="0.25">
      <c r="A267" s="1" t="s">
        <v>498</v>
      </c>
    </row>
    <row r="268" spans="1:1" x14ac:dyDescent="0.25">
      <c r="A268" s="1" t="s">
        <v>238</v>
      </c>
    </row>
    <row r="269" spans="1:1" x14ac:dyDescent="0.25">
      <c r="A269" s="1" t="s">
        <v>499</v>
      </c>
    </row>
    <row r="270" spans="1:1" x14ac:dyDescent="0.25">
      <c r="A270" s="1" t="s">
        <v>500</v>
      </c>
    </row>
    <row r="271" spans="1:1" x14ac:dyDescent="0.25">
      <c r="A271" s="1" t="s">
        <v>501</v>
      </c>
    </row>
    <row r="272" spans="1:1" x14ac:dyDescent="0.25">
      <c r="A272" s="1" t="s">
        <v>502</v>
      </c>
    </row>
    <row r="273" spans="1:1" x14ac:dyDescent="0.25">
      <c r="A273" s="1" t="s">
        <v>503</v>
      </c>
    </row>
    <row r="274" spans="1:1" x14ac:dyDescent="0.25">
      <c r="A274" s="1" t="s">
        <v>504</v>
      </c>
    </row>
    <row r="275" spans="1:1" x14ac:dyDescent="0.25">
      <c r="A275" s="1" t="s">
        <v>505</v>
      </c>
    </row>
    <row r="276" spans="1:1" x14ac:dyDescent="0.25">
      <c r="A276" s="1" t="s">
        <v>185</v>
      </c>
    </row>
    <row r="277" spans="1:1" x14ac:dyDescent="0.25">
      <c r="A277" s="1" t="s">
        <v>506</v>
      </c>
    </row>
    <row r="278" spans="1:1" x14ac:dyDescent="0.25">
      <c r="A278" s="1" t="s">
        <v>210</v>
      </c>
    </row>
    <row r="279" spans="1:1" x14ac:dyDescent="0.25">
      <c r="A279" s="1" t="s">
        <v>507</v>
      </c>
    </row>
    <row r="280" spans="1:1" x14ac:dyDescent="0.25">
      <c r="A280" s="1" t="s">
        <v>508</v>
      </c>
    </row>
    <row r="281" spans="1:1" x14ac:dyDescent="0.25">
      <c r="A281" s="1" t="s">
        <v>509</v>
      </c>
    </row>
    <row r="282" spans="1:1" x14ac:dyDescent="0.25">
      <c r="A282" s="1" t="s">
        <v>211</v>
      </c>
    </row>
    <row r="283" spans="1:1" x14ac:dyDescent="0.25">
      <c r="A283" s="1" t="s">
        <v>510</v>
      </c>
    </row>
    <row r="284" spans="1:1" x14ac:dyDescent="0.25">
      <c r="A284" s="1" t="s">
        <v>511</v>
      </c>
    </row>
    <row r="285" spans="1:1" x14ac:dyDescent="0.25">
      <c r="A285" s="1" t="s">
        <v>512</v>
      </c>
    </row>
    <row r="286" spans="1:1" x14ac:dyDescent="0.25">
      <c r="A286" s="1" t="s">
        <v>175</v>
      </c>
    </row>
    <row r="287" spans="1:1" x14ac:dyDescent="0.25">
      <c r="A287" s="1" t="s">
        <v>513</v>
      </c>
    </row>
    <row r="288" spans="1:1" x14ac:dyDescent="0.25">
      <c r="A288" s="1" t="s">
        <v>514</v>
      </c>
    </row>
    <row r="289" spans="1:1" x14ac:dyDescent="0.25">
      <c r="A289" s="1" t="s">
        <v>196</v>
      </c>
    </row>
    <row r="290" spans="1:1" x14ac:dyDescent="0.25">
      <c r="A290" s="1" t="s">
        <v>515</v>
      </c>
    </row>
    <row r="291" spans="1:1" x14ac:dyDescent="0.25">
      <c r="A291" s="1" t="s">
        <v>516</v>
      </c>
    </row>
    <row r="292" spans="1:1" x14ac:dyDescent="0.25">
      <c r="A292" s="1" t="s">
        <v>517</v>
      </c>
    </row>
    <row r="293" spans="1:1" x14ac:dyDescent="0.25">
      <c r="A293" s="1" t="s">
        <v>518</v>
      </c>
    </row>
    <row r="294" spans="1:1" x14ac:dyDescent="0.25">
      <c r="A294" s="1" t="s">
        <v>519</v>
      </c>
    </row>
    <row r="295" spans="1:1" x14ac:dyDescent="0.25">
      <c r="A295" s="1" t="s">
        <v>520</v>
      </c>
    </row>
    <row r="296" spans="1:1" x14ac:dyDescent="0.25">
      <c r="A296" s="1" t="s">
        <v>186</v>
      </c>
    </row>
    <row r="297" spans="1:1" x14ac:dyDescent="0.25">
      <c r="A297" s="1" t="s">
        <v>521</v>
      </c>
    </row>
    <row r="298" spans="1:1" x14ac:dyDescent="0.25">
      <c r="A298" s="1" t="s">
        <v>187</v>
      </c>
    </row>
    <row r="299" spans="1:1" x14ac:dyDescent="0.25">
      <c r="A299" s="1" t="s">
        <v>522</v>
      </c>
    </row>
    <row r="300" spans="1:1" x14ac:dyDescent="0.25">
      <c r="A300" s="1" t="s">
        <v>523</v>
      </c>
    </row>
    <row r="301" spans="1:1" x14ac:dyDescent="0.25">
      <c r="A301" s="1" t="s">
        <v>96</v>
      </c>
    </row>
    <row r="302" spans="1:1" x14ac:dyDescent="0.25">
      <c r="A302" s="1" t="s">
        <v>524</v>
      </c>
    </row>
    <row r="303" spans="1:1" x14ac:dyDescent="0.25">
      <c r="A303" s="1" t="s">
        <v>525</v>
      </c>
    </row>
    <row r="304" spans="1:1" x14ac:dyDescent="0.25">
      <c r="A304" s="1" t="s">
        <v>526</v>
      </c>
    </row>
    <row r="305" spans="1:1" x14ac:dyDescent="0.25">
      <c r="A305" s="1" t="s">
        <v>527</v>
      </c>
    </row>
    <row r="306" spans="1:1" x14ac:dyDescent="0.25">
      <c r="A306" s="1" t="s">
        <v>212</v>
      </c>
    </row>
    <row r="307" spans="1:1" x14ac:dyDescent="0.25">
      <c r="A307" s="1" t="s">
        <v>213</v>
      </c>
    </row>
    <row r="308" spans="1:1" x14ac:dyDescent="0.25">
      <c r="A308" s="1" t="s">
        <v>528</v>
      </c>
    </row>
    <row r="309" spans="1:1" x14ac:dyDescent="0.25">
      <c r="A309" s="1" t="s">
        <v>529</v>
      </c>
    </row>
    <row r="310" spans="1:1" x14ac:dyDescent="0.25">
      <c r="A310" s="1" t="s">
        <v>530</v>
      </c>
    </row>
    <row r="311" spans="1:1" x14ac:dyDescent="0.25">
      <c r="A311" s="1" t="s">
        <v>176</v>
      </c>
    </row>
    <row r="312" spans="1:1" x14ac:dyDescent="0.25">
      <c r="A312" s="1" t="s">
        <v>531</v>
      </c>
    </row>
    <row r="313" spans="1:1" x14ac:dyDescent="0.25">
      <c r="A313" s="1" t="s">
        <v>532</v>
      </c>
    </row>
    <row r="314" spans="1:1" x14ac:dyDescent="0.25">
      <c r="A314" s="1" t="s">
        <v>533</v>
      </c>
    </row>
    <row r="315" spans="1:1" x14ac:dyDescent="0.25">
      <c r="A315" s="1" t="s">
        <v>534</v>
      </c>
    </row>
    <row r="316" spans="1:1" x14ac:dyDescent="0.25">
      <c r="A316" s="1" t="s">
        <v>197</v>
      </c>
    </row>
    <row r="317" spans="1:1" x14ac:dyDescent="0.25">
      <c r="A317" s="1" t="s">
        <v>535</v>
      </c>
    </row>
    <row r="318" spans="1:1" x14ac:dyDescent="0.25">
      <c r="A318" s="1" t="s">
        <v>536</v>
      </c>
    </row>
    <row r="319" spans="1:1" x14ac:dyDescent="0.25">
      <c r="A319" s="1" t="s">
        <v>537</v>
      </c>
    </row>
    <row r="320" spans="1:1" x14ac:dyDescent="0.25">
      <c r="A320" s="1" t="s">
        <v>198</v>
      </c>
    </row>
    <row r="321" spans="1:1" x14ac:dyDescent="0.25">
      <c r="A321" s="1" t="s">
        <v>538</v>
      </c>
    </row>
    <row r="322" spans="1:1" x14ac:dyDescent="0.25">
      <c r="A322" s="1" t="s">
        <v>539</v>
      </c>
    </row>
    <row r="323" spans="1:1" x14ac:dyDescent="0.25">
      <c r="A323" s="1" t="s">
        <v>540</v>
      </c>
    </row>
    <row r="324" spans="1:1" x14ac:dyDescent="0.25">
      <c r="A324" s="1" t="s">
        <v>541</v>
      </c>
    </row>
    <row r="325" spans="1:1" x14ac:dyDescent="0.25">
      <c r="A325" s="1" t="s">
        <v>188</v>
      </c>
    </row>
    <row r="326" spans="1:1" x14ac:dyDescent="0.25">
      <c r="A326" s="1" t="s">
        <v>542</v>
      </c>
    </row>
    <row r="327" spans="1:1" x14ac:dyDescent="0.25">
      <c r="A327" s="1" t="s">
        <v>86</v>
      </c>
    </row>
    <row r="328" spans="1:1" x14ac:dyDescent="0.25">
      <c r="A328" s="1" t="s">
        <v>155</v>
      </c>
    </row>
    <row r="329" spans="1:1" x14ac:dyDescent="0.25">
      <c r="A329" s="1" t="s">
        <v>543</v>
      </c>
    </row>
    <row r="330" spans="1:1" x14ac:dyDescent="0.25">
      <c r="A330" s="1" t="s">
        <v>544</v>
      </c>
    </row>
    <row r="331" spans="1:1" x14ac:dyDescent="0.25">
      <c r="A331" s="1" t="s">
        <v>545</v>
      </c>
    </row>
    <row r="332" spans="1:1" x14ac:dyDescent="0.25">
      <c r="A332" s="1" t="s">
        <v>214</v>
      </c>
    </row>
    <row r="333" spans="1:1" x14ac:dyDescent="0.25">
      <c r="A333" s="1" t="s">
        <v>546</v>
      </c>
    </row>
    <row r="334" spans="1:1" x14ac:dyDescent="0.25">
      <c r="A334" s="1" t="s">
        <v>547</v>
      </c>
    </row>
    <row r="335" spans="1:1" x14ac:dyDescent="0.25">
      <c r="A335" s="1" t="s">
        <v>548</v>
      </c>
    </row>
    <row r="336" spans="1:1" x14ac:dyDescent="0.25">
      <c r="A336" s="1" t="s">
        <v>549</v>
      </c>
    </row>
    <row r="337" spans="1:1" x14ac:dyDescent="0.25">
      <c r="A337" s="1" t="s">
        <v>105</v>
      </c>
    </row>
    <row r="338" spans="1:1" x14ac:dyDescent="0.25">
      <c r="A338" s="1" t="s">
        <v>550</v>
      </c>
    </row>
    <row r="339" spans="1:1" x14ac:dyDescent="0.25">
      <c r="A339" s="1" t="s">
        <v>551</v>
      </c>
    </row>
    <row r="340" spans="1:1" x14ac:dyDescent="0.25">
      <c r="A340" s="1" t="s">
        <v>85</v>
      </c>
    </row>
    <row r="341" spans="1:1" x14ac:dyDescent="0.25">
      <c r="A341" s="1" t="s">
        <v>199</v>
      </c>
    </row>
    <row r="342" spans="1:1" x14ac:dyDescent="0.25">
      <c r="A342" s="1" t="s">
        <v>552</v>
      </c>
    </row>
    <row r="343" spans="1:1" x14ac:dyDescent="0.25">
      <c r="A343" s="1" t="s">
        <v>553</v>
      </c>
    </row>
    <row r="344" spans="1:1" x14ac:dyDescent="0.25">
      <c r="A344" s="1" t="s">
        <v>107</v>
      </c>
    </row>
    <row r="345" spans="1:1" x14ac:dyDescent="0.25">
      <c r="A345" s="1" t="s">
        <v>200</v>
      </c>
    </row>
    <row r="346" spans="1:1" x14ac:dyDescent="0.25">
      <c r="A346" s="1" t="s">
        <v>239</v>
      </c>
    </row>
    <row r="347" spans="1:1" x14ac:dyDescent="0.25">
      <c r="A347" s="1" t="s">
        <v>554</v>
      </c>
    </row>
    <row r="348" spans="1:1" x14ac:dyDescent="0.25">
      <c r="A348" s="1" t="s">
        <v>555</v>
      </c>
    </row>
    <row r="349" spans="1:1" x14ac:dyDescent="0.25">
      <c r="A349" s="1" t="s">
        <v>556</v>
      </c>
    </row>
    <row r="350" spans="1:1" x14ac:dyDescent="0.25">
      <c r="A350" s="1" t="s">
        <v>189</v>
      </c>
    </row>
    <row r="351" spans="1:1" x14ac:dyDescent="0.25">
      <c r="A351" s="1" t="s">
        <v>557</v>
      </c>
    </row>
    <row r="352" spans="1:1" x14ac:dyDescent="0.25">
      <c r="A352" s="1" t="s">
        <v>558</v>
      </c>
    </row>
    <row r="353" spans="1:1" x14ac:dyDescent="0.25">
      <c r="A353" s="1" t="s">
        <v>559</v>
      </c>
    </row>
    <row r="354" spans="1:1" x14ac:dyDescent="0.25">
      <c r="A354" s="1" t="s">
        <v>560</v>
      </c>
    </row>
    <row r="355" spans="1:1" x14ac:dyDescent="0.25">
      <c r="A355" s="1" t="s">
        <v>561</v>
      </c>
    </row>
    <row r="356" spans="1:1" x14ac:dyDescent="0.25">
      <c r="A356" s="1" t="s">
        <v>562</v>
      </c>
    </row>
    <row r="357" spans="1:1" x14ac:dyDescent="0.25">
      <c r="A357" s="1" t="s">
        <v>563</v>
      </c>
    </row>
    <row r="358" spans="1:1" x14ac:dyDescent="0.25">
      <c r="A358" s="1" t="s">
        <v>101</v>
      </c>
    </row>
    <row r="359" spans="1:1" x14ac:dyDescent="0.25">
      <c r="A359" s="1" t="s">
        <v>564</v>
      </c>
    </row>
    <row r="360" spans="1:1" x14ac:dyDescent="0.25">
      <c r="A360" s="1" t="s">
        <v>231</v>
      </c>
    </row>
    <row r="361" spans="1:1" x14ac:dyDescent="0.25">
      <c r="A361" s="1" t="s">
        <v>565</v>
      </c>
    </row>
    <row r="362" spans="1:1" x14ac:dyDescent="0.25">
      <c r="A362" s="1" t="s">
        <v>156</v>
      </c>
    </row>
    <row r="363" spans="1:1" x14ac:dyDescent="0.25">
      <c r="A363" s="1" t="s">
        <v>566</v>
      </c>
    </row>
    <row r="364" spans="1:1" x14ac:dyDescent="0.25">
      <c r="A364" s="1" t="s">
        <v>232</v>
      </c>
    </row>
    <row r="365" spans="1:1" x14ac:dyDescent="0.25">
      <c r="A365" s="1" t="s">
        <v>153</v>
      </c>
    </row>
    <row r="366" spans="1:1" x14ac:dyDescent="0.25">
      <c r="A366" s="1" t="s">
        <v>201</v>
      </c>
    </row>
    <row r="367" spans="1:1" x14ac:dyDescent="0.25">
      <c r="A367" s="1" t="s">
        <v>567</v>
      </c>
    </row>
    <row r="368" spans="1:1" x14ac:dyDescent="0.25">
      <c r="A368" s="1" t="s">
        <v>568</v>
      </c>
    </row>
    <row r="369" spans="1:1" x14ac:dyDescent="0.25">
      <c r="A369" s="1" t="s">
        <v>569</v>
      </c>
    </row>
    <row r="370" spans="1:1" x14ac:dyDescent="0.25">
      <c r="A370" s="1" t="s">
        <v>570</v>
      </c>
    </row>
    <row r="371" spans="1:1" x14ac:dyDescent="0.25">
      <c r="A371" s="1" t="s">
        <v>242</v>
      </c>
    </row>
    <row r="372" spans="1:1" x14ac:dyDescent="0.25">
      <c r="A372" s="1" t="s">
        <v>571</v>
      </c>
    </row>
    <row r="373" spans="1:1" x14ac:dyDescent="0.25">
      <c r="A373" s="1" t="s">
        <v>572</v>
      </c>
    </row>
    <row r="374" spans="1:1" x14ac:dyDescent="0.25">
      <c r="A374" s="1" t="s">
        <v>202</v>
      </c>
    </row>
    <row r="375" spans="1:1" x14ac:dyDescent="0.25">
      <c r="A375" s="1" t="s">
        <v>573</v>
      </c>
    </row>
    <row r="376" spans="1:1" x14ac:dyDescent="0.25">
      <c r="A376" s="1" t="s">
        <v>574</v>
      </c>
    </row>
    <row r="377" spans="1:1" x14ac:dyDescent="0.25">
      <c r="A377" s="1" t="s">
        <v>575</v>
      </c>
    </row>
    <row r="378" spans="1:1" x14ac:dyDescent="0.25">
      <c r="A378" s="1" t="s">
        <v>576</v>
      </c>
    </row>
    <row r="379" spans="1:1" x14ac:dyDescent="0.25">
      <c r="A379" s="1" t="s">
        <v>577</v>
      </c>
    </row>
    <row r="380" spans="1:1" x14ac:dyDescent="0.25">
      <c r="A380" s="1" t="s">
        <v>578</v>
      </c>
    </row>
    <row r="381" spans="1:1" x14ac:dyDescent="0.25">
      <c r="A381" s="1" t="s">
        <v>126</v>
      </c>
    </row>
    <row r="382" spans="1:1" x14ac:dyDescent="0.25">
      <c r="A382" s="1" t="s">
        <v>579</v>
      </c>
    </row>
    <row r="383" spans="1:1" x14ac:dyDescent="0.25">
      <c r="A383" s="1" t="s">
        <v>138</v>
      </c>
    </row>
    <row r="384" spans="1:1" x14ac:dyDescent="0.25">
      <c r="A384" s="1" t="s">
        <v>580</v>
      </c>
    </row>
    <row r="385" spans="1:1" x14ac:dyDescent="0.25">
      <c r="A385" s="1" t="s">
        <v>581</v>
      </c>
    </row>
    <row r="386" spans="1:1" x14ac:dyDescent="0.25">
      <c r="A386" s="1" t="s">
        <v>582</v>
      </c>
    </row>
    <row r="387" spans="1:1" x14ac:dyDescent="0.25">
      <c r="A387" s="1" t="s">
        <v>139</v>
      </c>
    </row>
    <row r="388" spans="1:1" x14ac:dyDescent="0.25">
      <c r="A388" s="1" t="s">
        <v>583</v>
      </c>
    </row>
    <row r="389" spans="1:1" x14ac:dyDescent="0.25">
      <c r="A389" s="1" t="s">
        <v>584</v>
      </c>
    </row>
    <row r="390" spans="1:1" x14ac:dyDescent="0.25">
      <c r="A390" s="1" t="s">
        <v>141</v>
      </c>
    </row>
    <row r="391" spans="1:1" x14ac:dyDescent="0.25">
      <c r="A391" s="1" t="s">
        <v>585</v>
      </c>
    </row>
    <row r="392" spans="1:1" x14ac:dyDescent="0.25">
      <c r="A392" s="1" t="s">
        <v>586</v>
      </c>
    </row>
    <row r="393" spans="1:1" x14ac:dyDescent="0.25">
      <c r="A393" s="1" t="s">
        <v>587</v>
      </c>
    </row>
    <row r="394" spans="1:1" x14ac:dyDescent="0.25">
      <c r="A394" s="1" t="s">
        <v>257</v>
      </c>
    </row>
    <row r="395" spans="1:1" x14ac:dyDescent="0.25">
      <c r="A395" s="1" t="s">
        <v>588</v>
      </c>
    </row>
    <row r="396" spans="1:1" x14ac:dyDescent="0.25">
      <c r="A396" s="1" t="s">
        <v>154</v>
      </c>
    </row>
    <row r="397" spans="1:1" x14ac:dyDescent="0.25">
      <c r="A397" s="1" t="s">
        <v>589</v>
      </c>
    </row>
    <row r="398" spans="1:1" x14ac:dyDescent="0.25">
      <c r="A398" s="1" t="s">
        <v>590</v>
      </c>
    </row>
    <row r="399" spans="1:1" x14ac:dyDescent="0.25">
      <c r="A399" s="1" t="s">
        <v>591</v>
      </c>
    </row>
    <row r="400" spans="1:1" x14ac:dyDescent="0.25">
      <c r="A400" s="1" t="s">
        <v>592</v>
      </c>
    </row>
    <row r="401" spans="1:1" x14ac:dyDescent="0.25">
      <c r="A401" s="1" t="s">
        <v>593</v>
      </c>
    </row>
    <row r="402" spans="1:1" x14ac:dyDescent="0.25">
      <c r="A402" s="1" t="s">
        <v>190</v>
      </c>
    </row>
    <row r="403" spans="1:1" x14ac:dyDescent="0.25">
      <c r="A403" s="1" t="s">
        <v>594</v>
      </c>
    </row>
    <row r="404" spans="1:1" x14ac:dyDescent="0.25">
      <c r="A404" s="1" t="s">
        <v>227</v>
      </c>
    </row>
    <row r="405" spans="1:1" x14ac:dyDescent="0.25">
      <c r="A405" s="1" t="s">
        <v>172</v>
      </c>
    </row>
    <row r="406" spans="1:1" x14ac:dyDescent="0.25">
      <c r="A406" s="1" t="s">
        <v>595</v>
      </c>
    </row>
    <row r="407" spans="1:1" x14ac:dyDescent="0.25">
      <c r="A407" s="1" t="s">
        <v>596</v>
      </c>
    </row>
    <row r="408" spans="1:1" x14ac:dyDescent="0.25">
      <c r="A408" s="1" t="s">
        <v>597</v>
      </c>
    </row>
    <row r="409" spans="1:1" x14ac:dyDescent="0.25">
      <c r="A409" s="1" t="s">
        <v>215</v>
      </c>
    </row>
    <row r="410" spans="1:1" x14ac:dyDescent="0.25">
      <c r="A410" s="1" t="s">
        <v>598</v>
      </c>
    </row>
    <row r="411" spans="1:1" x14ac:dyDescent="0.25">
      <c r="A411" s="1" t="s">
        <v>599</v>
      </c>
    </row>
    <row r="412" spans="1:1" x14ac:dyDescent="0.25">
      <c r="A412" s="1" t="s">
        <v>600</v>
      </c>
    </row>
    <row r="413" spans="1:1" x14ac:dyDescent="0.25">
      <c r="A413" s="1" t="s">
        <v>601</v>
      </c>
    </row>
    <row r="414" spans="1:1" x14ac:dyDescent="0.25">
      <c r="A414" s="1" t="s">
        <v>235</v>
      </c>
    </row>
    <row r="415" spans="1:1" x14ac:dyDescent="0.25">
      <c r="A415" s="1" t="s">
        <v>602</v>
      </c>
    </row>
    <row r="416" spans="1:1" x14ac:dyDescent="0.25">
      <c r="A416" s="1" t="s">
        <v>603</v>
      </c>
    </row>
    <row r="417" spans="1:1" x14ac:dyDescent="0.25">
      <c r="A417" s="1" t="s">
        <v>604</v>
      </c>
    </row>
    <row r="418" spans="1:1" x14ac:dyDescent="0.25">
      <c r="A418" s="1" t="s">
        <v>605</v>
      </c>
    </row>
    <row r="419" spans="1:1" x14ac:dyDescent="0.25">
      <c r="A419" s="1" t="s">
        <v>606</v>
      </c>
    </row>
    <row r="420" spans="1:1" x14ac:dyDescent="0.25">
      <c r="A420" s="1" t="s">
        <v>203</v>
      </c>
    </row>
    <row r="421" spans="1:1" x14ac:dyDescent="0.25">
      <c r="A421" s="1" t="s">
        <v>607</v>
      </c>
    </row>
    <row r="422" spans="1:1" x14ac:dyDescent="0.25">
      <c r="A422" s="1" t="s">
        <v>608</v>
      </c>
    </row>
    <row r="423" spans="1:1" x14ac:dyDescent="0.25">
      <c r="A423" s="1" t="s">
        <v>159</v>
      </c>
    </row>
    <row r="424" spans="1:1" x14ac:dyDescent="0.25">
      <c r="A424" s="1" t="s">
        <v>609</v>
      </c>
    </row>
    <row r="425" spans="1:1" x14ac:dyDescent="0.25">
      <c r="A425" s="1" t="s">
        <v>97</v>
      </c>
    </row>
    <row r="426" spans="1:1" x14ac:dyDescent="0.25">
      <c r="A426" s="1" t="s">
        <v>610</v>
      </c>
    </row>
    <row r="427" spans="1:1" x14ac:dyDescent="0.25">
      <c r="A427" s="1" t="s">
        <v>611</v>
      </c>
    </row>
    <row r="428" spans="1:1" x14ac:dyDescent="0.25">
      <c r="A428" s="1" t="s">
        <v>612</v>
      </c>
    </row>
    <row r="429" spans="1:1" x14ac:dyDescent="0.25">
      <c r="A429" s="1" t="s">
        <v>613</v>
      </c>
    </row>
    <row r="430" spans="1:1" x14ac:dyDescent="0.25">
      <c r="A430" s="1" t="s">
        <v>614</v>
      </c>
    </row>
    <row r="431" spans="1:1" x14ac:dyDescent="0.25">
      <c r="A431" s="1" t="s">
        <v>615</v>
      </c>
    </row>
    <row r="432" spans="1:1" x14ac:dyDescent="0.25">
      <c r="A432" s="1" t="s">
        <v>129</v>
      </c>
    </row>
    <row r="433" spans="1:1" x14ac:dyDescent="0.25">
      <c r="A433" s="1" t="s">
        <v>616</v>
      </c>
    </row>
    <row r="434" spans="1:1" x14ac:dyDescent="0.25">
      <c r="A434" s="1" t="s">
        <v>617</v>
      </c>
    </row>
    <row r="435" spans="1:1" x14ac:dyDescent="0.25">
      <c r="A435" s="1" t="s">
        <v>618</v>
      </c>
    </row>
    <row r="436" spans="1:1" x14ac:dyDescent="0.25">
      <c r="A436" s="1" t="s">
        <v>106</v>
      </c>
    </row>
    <row r="437" spans="1:1" x14ac:dyDescent="0.25">
      <c r="A437" s="1" t="s">
        <v>619</v>
      </c>
    </row>
    <row r="438" spans="1:1" x14ac:dyDescent="0.25">
      <c r="A438" s="1" t="s">
        <v>620</v>
      </c>
    </row>
    <row r="439" spans="1:1" x14ac:dyDescent="0.25">
      <c r="A439" s="1" t="s">
        <v>142</v>
      </c>
    </row>
    <row r="440" spans="1:1" x14ac:dyDescent="0.25">
      <c r="A440" s="1" t="s">
        <v>621</v>
      </c>
    </row>
    <row r="441" spans="1:1" x14ac:dyDescent="0.25">
      <c r="A441" s="1" t="s">
        <v>236</v>
      </c>
    </row>
    <row r="442" spans="1:1" x14ac:dyDescent="0.25">
      <c r="A442" s="1" t="s">
        <v>143</v>
      </c>
    </row>
    <row r="443" spans="1:1" x14ac:dyDescent="0.25">
      <c r="A443" s="1" t="s">
        <v>622</v>
      </c>
    </row>
    <row r="444" spans="1:1" x14ac:dyDescent="0.25">
      <c r="A444" s="1" t="s">
        <v>24</v>
      </c>
    </row>
    <row r="445" spans="1:1" x14ac:dyDescent="0.25">
      <c r="A445" s="1" t="s">
        <v>623</v>
      </c>
    </row>
    <row r="446" spans="1:1" x14ac:dyDescent="0.25">
      <c r="A446" s="1" t="s">
        <v>624</v>
      </c>
    </row>
    <row r="447" spans="1:1" x14ac:dyDescent="0.25">
      <c r="A447" s="1" t="s">
        <v>41</v>
      </c>
    </row>
    <row r="448" spans="1:1" x14ac:dyDescent="0.25">
      <c r="A448" s="1" t="s">
        <v>625</v>
      </c>
    </row>
    <row r="449" spans="1:1" x14ac:dyDescent="0.25">
      <c r="A449" s="1" t="s">
        <v>241</v>
      </c>
    </row>
    <row r="450" spans="1:1" x14ac:dyDescent="0.25">
      <c r="A450" s="1" t="s">
        <v>173</v>
      </c>
    </row>
    <row r="451" spans="1:1" x14ac:dyDescent="0.25">
      <c r="A451" s="1" t="s">
        <v>626</v>
      </c>
    </row>
    <row r="452" spans="1:1" x14ac:dyDescent="0.25">
      <c r="A452" s="1" t="s">
        <v>627</v>
      </c>
    </row>
    <row r="453" spans="1:1" x14ac:dyDescent="0.25">
      <c r="A453" s="1" t="s">
        <v>628</v>
      </c>
    </row>
    <row r="454" spans="1:1" x14ac:dyDescent="0.25">
      <c r="A454" s="1" t="s">
        <v>629</v>
      </c>
    </row>
    <row r="455" spans="1:1" x14ac:dyDescent="0.25">
      <c r="A455" s="1" t="s">
        <v>130</v>
      </c>
    </row>
    <row r="456" spans="1:1" x14ac:dyDescent="0.25">
      <c r="A456" s="1" t="s">
        <v>630</v>
      </c>
    </row>
    <row r="457" spans="1:1" x14ac:dyDescent="0.25">
      <c r="A457" s="1" t="s">
        <v>631</v>
      </c>
    </row>
    <row r="458" spans="1:1" x14ac:dyDescent="0.25">
      <c r="A458" s="1" t="s">
        <v>218</v>
      </c>
    </row>
    <row r="459" spans="1:1" x14ac:dyDescent="0.25">
      <c r="A459" s="1" t="s">
        <v>150</v>
      </c>
    </row>
    <row r="460" spans="1:1" x14ac:dyDescent="0.25">
      <c r="A460" s="1" t="s">
        <v>632</v>
      </c>
    </row>
    <row r="461" spans="1:1" x14ac:dyDescent="0.25">
      <c r="A461" s="1" t="s">
        <v>633</v>
      </c>
    </row>
    <row r="462" spans="1:1" x14ac:dyDescent="0.25">
      <c r="A462" s="1" t="s">
        <v>634</v>
      </c>
    </row>
    <row r="463" spans="1:1" x14ac:dyDescent="0.25">
      <c r="A463" s="1" t="s">
        <v>635</v>
      </c>
    </row>
    <row r="464" spans="1:1" x14ac:dyDescent="0.25">
      <c r="A464" s="1" t="s">
        <v>636</v>
      </c>
    </row>
    <row r="465" spans="1:1" x14ac:dyDescent="0.25">
      <c r="A465" s="1" t="s">
        <v>637</v>
      </c>
    </row>
    <row r="466" spans="1:1" x14ac:dyDescent="0.25">
      <c r="A466" s="1" t="s">
        <v>233</v>
      </c>
    </row>
    <row r="467" spans="1:1" x14ac:dyDescent="0.25">
      <c r="A467" s="1" t="s">
        <v>240</v>
      </c>
    </row>
    <row r="468" spans="1:1" x14ac:dyDescent="0.25">
      <c r="A468" s="1" t="s">
        <v>234</v>
      </c>
    </row>
    <row r="469" spans="1:1" x14ac:dyDescent="0.25">
      <c r="A469" s="1" t="s">
        <v>638</v>
      </c>
    </row>
    <row r="470" spans="1:1" x14ac:dyDescent="0.25">
      <c r="A470" s="1" t="s">
        <v>204</v>
      </c>
    </row>
    <row r="471" spans="1:1" x14ac:dyDescent="0.25">
      <c r="A471" s="1" t="s">
        <v>639</v>
      </c>
    </row>
    <row r="472" spans="1:1" x14ac:dyDescent="0.25">
      <c r="A472" s="1" t="s">
        <v>640</v>
      </c>
    </row>
    <row r="473" spans="1:1" x14ac:dyDescent="0.25">
      <c r="A473" s="1" t="s">
        <v>641</v>
      </c>
    </row>
    <row r="474" spans="1:1" x14ac:dyDescent="0.25">
      <c r="A474" s="1" t="s">
        <v>642</v>
      </c>
    </row>
    <row r="475" spans="1:1" x14ac:dyDescent="0.25">
      <c r="A475" s="1" t="s">
        <v>160</v>
      </c>
    </row>
    <row r="476" spans="1:1" x14ac:dyDescent="0.25">
      <c r="A476" s="1" t="s">
        <v>161</v>
      </c>
    </row>
    <row r="477" spans="1:1" x14ac:dyDescent="0.25">
      <c r="A477" s="1" t="s">
        <v>643</v>
      </c>
    </row>
    <row r="478" spans="1:1" x14ac:dyDescent="0.25">
      <c r="A478" s="1" t="s">
        <v>174</v>
      </c>
    </row>
    <row r="479" spans="1:1" x14ac:dyDescent="0.25">
      <c r="A479" s="1" t="s">
        <v>644</v>
      </c>
    </row>
    <row r="480" spans="1:1" x14ac:dyDescent="0.25">
      <c r="A480" s="1" t="s">
        <v>228</v>
      </c>
    </row>
    <row r="481" spans="1:1" x14ac:dyDescent="0.25">
      <c r="A481" s="1" t="s">
        <v>645</v>
      </c>
    </row>
    <row r="482" spans="1:1" x14ac:dyDescent="0.25">
      <c r="A482" s="1" t="s">
        <v>131</v>
      </c>
    </row>
    <row r="483" spans="1:1" x14ac:dyDescent="0.25">
      <c r="A483" s="1" t="s">
        <v>646</v>
      </c>
    </row>
    <row r="484" spans="1:1" x14ac:dyDescent="0.25">
      <c r="A484" s="1" t="s">
        <v>25</v>
      </c>
    </row>
    <row r="485" spans="1:1" x14ac:dyDescent="0.25">
      <c r="A485" s="1" t="s">
        <v>151</v>
      </c>
    </row>
    <row r="486" spans="1:1" x14ac:dyDescent="0.25">
      <c r="A486" s="1" t="s">
        <v>647</v>
      </c>
    </row>
    <row r="487" spans="1:1" x14ac:dyDescent="0.25">
      <c r="A487" s="1" t="s">
        <v>648</v>
      </c>
    </row>
    <row r="488" spans="1:1" x14ac:dyDescent="0.25">
      <c r="A488" s="1" t="s">
        <v>157</v>
      </c>
    </row>
    <row r="489" spans="1:1" x14ac:dyDescent="0.25">
      <c r="A489" s="1" t="s">
        <v>649</v>
      </c>
    </row>
    <row r="490" spans="1:1" x14ac:dyDescent="0.25">
      <c r="A490" s="1" t="s">
        <v>650</v>
      </c>
    </row>
    <row r="491" spans="1:1" x14ac:dyDescent="0.25">
      <c r="A491" s="1" t="s">
        <v>651</v>
      </c>
    </row>
    <row r="492" spans="1:1" x14ac:dyDescent="0.25">
      <c r="A492" s="1" t="s">
        <v>652</v>
      </c>
    </row>
    <row r="493" spans="1:1" x14ac:dyDescent="0.25">
      <c r="A493" s="1" t="s">
        <v>653</v>
      </c>
    </row>
    <row r="494" spans="1:1" x14ac:dyDescent="0.25">
      <c r="A494" s="1" t="s">
        <v>654</v>
      </c>
    </row>
    <row r="495" spans="1:1" x14ac:dyDescent="0.25">
      <c r="A495" s="1" t="s">
        <v>655</v>
      </c>
    </row>
    <row r="496" spans="1:1" x14ac:dyDescent="0.25">
      <c r="A496" s="1" t="s">
        <v>87</v>
      </c>
    </row>
    <row r="497" spans="1:1" x14ac:dyDescent="0.25">
      <c r="A497" s="1" t="s">
        <v>162</v>
      </c>
    </row>
    <row r="498" spans="1:1" x14ac:dyDescent="0.25">
      <c r="A498" s="1" t="s">
        <v>656</v>
      </c>
    </row>
    <row r="499" spans="1:1" x14ac:dyDescent="0.25">
      <c r="A499" s="1" t="s">
        <v>657</v>
      </c>
    </row>
    <row r="500" spans="1:1" x14ac:dyDescent="0.25">
      <c r="A500" s="1" t="s">
        <v>163</v>
      </c>
    </row>
    <row r="501" spans="1:1" x14ac:dyDescent="0.25">
      <c r="A501" s="1" t="s">
        <v>658</v>
      </c>
    </row>
    <row r="502" spans="1:1" x14ac:dyDescent="0.25">
      <c r="A502" s="1" t="s">
        <v>659</v>
      </c>
    </row>
    <row r="503" spans="1:1" x14ac:dyDescent="0.25">
      <c r="A503" s="1" t="s">
        <v>660</v>
      </c>
    </row>
    <row r="504" spans="1:1" x14ac:dyDescent="0.25">
      <c r="A504" s="1" t="s">
        <v>661</v>
      </c>
    </row>
    <row r="505" spans="1:1" x14ac:dyDescent="0.25">
      <c r="A505" s="1" t="s">
        <v>225</v>
      </c>
    </row>
    <row r="506" spans="1:1" x14ac:dyDescent="0.25">
      <c r="A506" s="1" t="s">
        <v>132</v>
      </c>
    </row>
    <row r="507" spans="1:1" x14ac:dyDescent="0.25">
      <c r="A507" s="1" t="s">
        <v>662</v>
      </c>
    </row>
    <row r="508" spans="1:1" x14ac:dyDescent="0.25">
      <c r="A508" s="1" t="s">
        <v>663</v>
      </c>
    </row>
    <row r="509" spans="1:1" x14ac:dyDescent="0.25">
      <c r="A509" s="1" t="s">
        <v>664</v>
      </c>
    </row>
    <row r="510" spans="1:1" x14ac:dyDescent="0.25">
      <c r="A510" s="1" t="s">
        <v>665</v>
      </c>
    </row>
    <row r="511" spans="1:1" x14ac:dyDescent="0.25">
      <c r="A511" s="1" t="s">
        <v>133</v>
      </c>
    </row>
    <row r="512" spans="1:1" x14ac:dyDescent="0.25">
      <c r="A512" s="1" t="s">
        <v>666</v>
      </c>
    </row>
    <row r="513" spans="1:1" x14ac:dyDescent="0.25">
      <c r="A513" s="1" t="s">
        <v>21</v>
      </c>
    </row>
    <row r="514" spans="1:1" x14ac:dyDescent="0.25">
      <c r="A514" s="1" t="s">
        <v>667</v>
      </c>
    </row>
    <row r="515" spans="1:1" x14ac:dyDescent="0.25">
      <c r="A515" s="1" t="s">
        <v>134</v>
      </c>
    </row>
    <row r="516" spans="1:1" x14ac:dyDescent="0.25">
      <c r="A516" s="1" t="s">
        <v>668</v>
      </c>
    </row>
    <row r="517" spans="1:1" x14ac:dyDescent="0.25">
      <c r="A517" s="1" t="s">
        <v>109</v>
      </c>
    </row>
    <row r="518" spans="1:1" x14ac:dyDescent="0.25">
      <c r="A518" s="1" t="s">
        <v>669</v>
      </c>
    </row>
    <row r="519" spans="1:1" x14ac:dyDescent="0.25">
      <c r="A519" s="1" t="s">
        <v>158</v>
      </c>
    </row>
    <row r="520" spans="1:1" x14ac:dyDescent="0.25">
      <c r="A520" s="1" t="s">
        <v>670</v>
      </c>
    </row>
    <row r="521" spans="1:1" x14ac:dyDescent="0.25">
      <c r="A521" s="1" t="s">
        <v>108</v>
      </c>
    </row>
    <row r="522" spans="1:1" x14ac:dyDescent="0.25">
      <c r="A522" s="1" t="s">
        <v>164</v>
      </c>
    </row>
    <row r="523" spans="1:1" x14ac:dyDescent="0.25">
      <c r="A523" s="1" t="s">
        <v>671</v>
      </c>
    </row>
    <row r="524" spans="1:1" x14ac:dyDescent="0.25">
      <c r="A524" s="1" t="s">
        <v>672</v>
      </c>
    </row>
    <row r="525" spans="1:1" x14ac:dyDescent="0.25">
      <c r="A525" s="1" t="s">
        <v>165</v>
      </c>
    </row>
    <row r="526" spans="1:1" x14ac:dyDescent="0.25">
      <c r="A526" s="1" t="s">
        <v>673</v>
      </c>
    </row>
    <row r="527" spans="1:1" x14ac:dyDescent="0.25">
      <c r="A527" s="1" t="s">
        <v>674</v>
      </c>
    </row>
    <row r="528" spans="1:1" x14ac:dyDescent="0.25">
      <c r="A528" s="1" t="s">
        <v>675</v>
      </c>
    </row>
    <row r="529" spans="1:1" x14ac:dyDescent="0.25">
      <c r="A529" s="1" t="s">
        <v>110</v>
      </c>
    </row>
    <row r="530" spans="1:1" x14ac:dyDescent="0.25">
      <c r="A530" s="1" t="s">
        <v>676</v>
      </c>
    </row>
    <row r="531" spans="1:1" x14ac:dyDescent="0.25">
      <c r="A531" s="1" t="s">
        <v>152</v>
      </c>
    </row>
    <row r="532" spans="1:1" x14ac:dyDescent="0.25">
      <c r="A532" s="1" t="s">
        <v>677</v>
      </c>
    </row>
    <row r="533" spans="1:1" x14ac:dyDescent="0.25">
      <c r="A533" s="1" t="s">
        <v>678</v>
      </c>
    </row>
    <row r="534" spans="1:1" x14ac:dyDescent="0.25">
      <c r="A534" s="1" t="s">
        <v>135</v>
      </c>
    </row>
    <row r="535" spans="1:1" x14ac:dyDescent="0.25">
      <c r="A535" s="1" t="s">
        <v>42</v>
      </c>
    </row>
    <row r="536" spans="1:1" x14ac:dyDescent="0.25">
      <c r="A536" s="1" t="s">
        <v>223</v>
      </c>
    </row>
    <row r="537" spans="1:1" x14ac:dyDescent="0.25">
      <c r="A537" s="1" t="s">
        <v>226</v>
      </c>
    </row>
    <row r="538" spans="1:1" x14ac:dyDescent="0.25">
      <c r="A538" s="1" t="s">
        <v>679</v>
      </c>
    </row>
    <row r="539" spans="1:1" x14ac:dyDescent="0.25">
      <c r="A539" s="1" t="s">
        <v>680</v>
      </c>
    </row>
    <row r="540" spans="1:1" x14ac:dyDescent="0.25">
      <c r="A540" s="1" t="s">
        <v>54</v>
      </c>
    </row>
    <row r="541" spans="1:1" x14ac:dyDescent="0.25">
      <c r="A541" s="1" t="s">
        <v>222</v>
      </c>
    </row>
    <row r="542" spans="1:1" x14ac:dyDescent="0.25">
      <c r="A542" s="1" t="s">
        <v>229</v>
      </c>
    </row>
    <row r="543" spans="1:1" x14ac:dyDescent="0.25">
      <c r="A543" s="1" t="s">
        <v>681</v>
      </c>
    </row>
    <row r="544" spans="1:1" x14ac:dyDescent="0.25">
      <c r="A544" s="1" t="s">
        <v>111</v>
      </c>
    </row>
    <row r="545" spans="1:1" x14ac:dyDescent="0.25">
      <c r="A545" s="1" t="s">
        <v>682</v>
      </c>
    </row>
    <row r="546" spans="1:1" x14ac:dyDescent="0.25">
      <c r="A546" s="1" t="s">
        <v>683</v>
      </c>
    </row>
    <row r="547" spans="1:1" x14ac:dyDescent="0.25">
      <c r="A547" s="1" t="s">
        <v>102</v>
      </c>
    </row>
    <row r="548" spans="1:1" x14ac:dyDescent="0.25">
      <c r="A548" s="1" t="s">
        <v>684</v>
      </c>
    </row>
    <row r="549" spans="1:1" x14ac:dyDescent="0.25">
      <c r="A549" s="1" t="s">
        <v>166</v>
      </c>
    </row>
    <row r="550" spans="1:1" x14ac:dyDescent="0.25">
      <c r="A550" s="1" t="s">
        <v>685</v>
      </c>
    </row>
    <row r="551" spans="1:1" x14ac:dyDescent="0.25">
      <c r="A551" s="1" t="s">
        <v>686</v>
      </c>
    </row>
    <row r="552" spans="1:1" x14ac:dyDescent="0.25">
      <c r="A552" s="1" t="s">
        <v>167</v>
      </c>
    </row>
    <row r="553" spans="1:1" x14ac:dyDescent="0.25">
      <c r="A553" s="1" t="s">
        <v>687</v>
      </c>
    </row>
    <row r="554" spans="1:1" x14ac:dyDescent="0.25">
      <c r="A554" s="1" t="s">
        <v>219</v>
      </c>
    </row>
    <row r="555" spans="1:1" x14ac:dyDescent="0.25">
      <c r="A555" s="1" t="s">
        <v>688</v>
      </c>
    </row>
    <row r="556" spans="1:1" x14ac:dyDescent="0.25">
      <c r="A556" s="1" t="s">
        <v>689</v>
      </c>
    </row>
    <row r="557" spans="1:1" x14ac:dyDescent="0.25">
      <c r="A557" s="1" t="s">
        <v>224</v>
      </c>
    </row>
    <row r="558" spans="1:1" x14ac:dyDescent="0.25">
      <c r="A558" s="1" t="s">
        <v>221</v>
      </c>
    </row>
    <row r="559" spans="1:1" x14ac:dyDescent="0.25">
      <c r="A559" s="1" t="s">
        <v>690</v>
      </c>
    </row>
    <row r="560" spans="1:1" x14ac:dyDescent="0.25">
      <c r="A560" s="1" t="s">
        <v>691</v>
      </c>
    </row>
    <row r="561" spans="1:1" x14ac:dyDescent="0.25">
      <c r="A561" s="1" t="s">
        <v>692</v>
      </c>
    </row>
    <row r="562" spans="1:1" x14ac:dyDescent="0.25">
      <c r="A562" s="1" t="s">
        <v>693</v>
      </c>
    </row>
    <row r="563" spans="1:1" x14ac:dyDescent="0.25">
      <c r="A563" s="1" t="s">
        <v>137</v>
      </c>
    </row>
    <row r="564" spans="1:1" x14ac:dyDescent="0.25">
      <c r="A564" s="1" t="s">
        <v>694</v>
      </c>
    </row>
    <row r="565" spans="1:1" x14ac:dyDescent="0.25">
      <c r="A565" s="1" t="s">
        <v>695</v>
      </c>
    </row>
    <row r="566" spans="1:1" x14ac:dyDescent="0.25">
      <c r="A566" s="1" t="s">
        <v>696</v>
      </c>
    </row>
    <row r="567" spans="1:1" x14ac:dyDescent="0.25">
      <c r="A567" s="1" t="s">
        <v>697</v>
      </c>
    </row>
    <row r="568" spans="1:1" x14ac:dyDescent="0.25">
      <c r="A568" s="1" t="s">
        <v>98</v>
      </c>
    </row>
    <row r="569" spans="1:1" x14ac:dyDescent="0.25">
      <c r="A569" s="1" t="s">
        <v>112</v>
      </c>
    </row>
    <row r="570" spans="1:1" x14ac:dyDescent="0.25">
      <c r="A570" s="1" t="s">
        <v>698</v>
      </c>
    </row>
    <row r="571" spans="1:1" x14ac:dyDescent="0.25">
      <c r="A571" s="1" t="s">
        <v>699</v>
      </c>
    </row>
    <row r="572" spans="1:1" x14ac:dyDescent="0.25">
      <c r="A572" s="1" t="s">
        <v>144</v>
      </c>
    </row>
    <row r="573" spans="1:1" x14ac:dyDescent="0.25">
      <c r="A573" s="1" t="s">
        <v>700</v>
      </c>
    </row>
    <row r="574" spans="1:1" x14ac:dyDescent="0.25">
      <c r="A574" s="1" t="s">
        <v>22</v>
      </c>
    </row>
    <row r="575" spans="1:1" x14ac:dyDescent="0.25">
      <c r="A575" s="1" t="s">
        <v>701</v>
      </c>
    </row>
    <row r="576" spans="1:1" x14ac:dyDescent="0.25">
      <c r="A576" s="1" t="s">
        <v>702</v>
      </c>
    </row>
    <row r="577" spans="1:1" x14ac:dyDescent="0.25">
      <c r="A577" s="1" t="s">
        <v>703</v>
      </c>
    </row>
    <row r="578" spans="1:1" x14ac:dyDescent="0.25">
      <c r="A578" s="1" t="s">
        <v>704</v>
      </c>
    </row>
    <row r="579" spans="1:1" x14ac:dyDescent="0.25">
      <c r="A579" s="1" t="s">
        <v>230</v>
      </c>
    </row>
    <row r="580" spans="1:1" x14ac:dyDescent="0.25">
      <c r="A580" s="1" t="s">
        <v>705</v>
      </c>
    </row>
    <row r="581" spans="1:1" x14ac:dyDescent="0.25">
      <c r="A581" s="1" t="s">
        <v>706</v>
      </c>
    </row>
    <row r="582" spans="1:1" x14ac:dyDescent="0.25">
      <c r="A582" s="1" t="s">
        <v>19</v>
      </c>
    </row>
    <row r="583" spans="1:1" x14ac:dyDescent="0.25">
      <c r="A583" s="1" t="s">
        <v>707</v>
      </c>
    </row>
    <row r="584" spans="1:1" x14ac:dyDescent="0.25">
      <c r="A584" s="1" t="s">
        <v>708</v>
      </c>
    </row>
    <row r="585" spans="1:1" x14ac:dyDescent="0.25">
      <c r="A585" s="1" t="s">
        <v>113</v>
      </c>
    </row>
    <row r="586" spans="1:1" x14ac:dyDescent="0.25">
      <c r="A586" s="1" t="s">
        <v>216</v>
      </c>
    </row>
    <row r="587" spans="1:1" x14ac:dyDescent="0.25">
      <c r="A587" s="1" t="s">
        <v>709</v>
      </c>
    </row>
    <row r="588" spans="1:1" x14ac:dyDescent="0.25">
      <c r="A588" s="1" t="s">
        <v>114</v>
      </c>
    </row>
    <row r="589" spans="1:1" x14ac:dyDescent="0.25">
      <c r="A589" s="1" t="s">
        <v>710</v>
      </c>
    </row>
    <row r="590" spans="1:1" x14ac:dyDescent="0.25">
      <c r="A590" s="1" t="s">
        <v>711</v>
      </c>
    </row>
    <row r="591" spans="1:1" x14ac:dyDescent="0.25">
      <c r="A591" s="1" t="s">
        <v>217</v>
      </c>
    </row>
    <row r="592" spans="1:1" x14ac:dyDescent="0.25">
      <c r="A592" s="1" t="s">
        <v>115</v>
      </c>
    </row>
    <row r="593" spans="1:1" x14ac:dyDescent="0.25">
      <c r="A593" s="1" t="s">
        <v>712</v>
      </c>
    </row>
    <row r="594" spans="1:1" x14ac:dyDescent="0.25">
      <c r="A594" s="1" t="s">
        <v>713</v>
      </c>
    </row>
    <row r="595" spans="1:1" x14ac:dyDescent="0.25">
      <c r="A595" s="1" t="s">
        <v>714</v>
      </c>
    </row>
    <row r="596" spans="1:1" x14ac:dyDescent="0.25">
      <c r="A596" s="1" t="s">
        <v>715</v>
      </c>
    </row>
    <row r="597" spans="1:1" x14ac:dyDescent="0.25">
      <c r="A597" s="1" t="s">
        <v>145</v>
      </c>
    </row>
    <row r="598" spans="1:1" x14ac:dyDescent="0.25">
      <c r="A598" s="1" t="s">
        <v>716</v>
      </c>
    </row>
    <row r="599" spans="1:1" x14ac:dyDescent="0.25">
      <c r="A599" s="1" t="s">
        <v>717</v>
      </c>
    </row>
    <row r="600" spans="1:1" x14ac:dyDescent="0.25">
      <c r="A600" s="1" t="s">
        <v>718</v>
      </c>
    </row>
    <row r="601" spans="1:1" x14ac:dyDescent="0.25">
      <c r="A601" s="1" t="s">
        <v>719</v>
      </c>
    </row>
    <row r="602" spans="1:1" x14ac:dyDescent="0.25">
      <c r="A602" s="1" t="s">
        <v>720</v>
      </c>
    </row>
    <row r="603" spans="1:1" x14ac:dyDescent="0.25">
      <c r="A603" s="1" t="s">
        <v>721</v>
      </c>
    </row>
    <row r="604" spans="1:1" x14ac:dyDescent="0.25">
      <c r="A604" s="1" t="s">
        <v>237</v>
      </c>
    </row>
    <row r="605" spans="1:1" x14ac:dyDescent="0.25">
      <c r="A605" s="1" t="s">
        <v>722</v>
      </c>
    </row>
    <row r="606" spans="1:1" x14ac:dyDescent="0.25">
      <c r="A606" s="1" t="s">
        <v>116</v>
      </c>
    </row>
    <row r="607" spans="1:1" x14ac:dyDescent="0.25">
      <c r="A607" s="1" t="s">
        <v>723</v>
      </c>
    </row>
    <row r="608" spans="1:1" x14ac:dyDescent="0.25">
      <c r="A608" s="1" t="s">
        <v>724</v>
      </c>
    </row>
    <row r="609" spans="1:1" x14ac:dyDescent="0.25">
      <c r="A609" s="1" t="s">
        <v>725</v>
      </c>
    </row>
    <row r="610" spans="1:1" x14ac:dyDescent="0.25">
      <c r="A610" s="1" t="s">
        <v>220</v>
      </c>
    </row>
    <row r="611" spans="1:1" x14ac:dyDescent="0.25">
      <c r="A611" s="1" t="s">
        <v>146</v>
      </c>
    </row>
    <row r="612" spans="1:1" x14ac:dyDescent="0.25">
      <c r="A612" s="1" t="s">
        <v>117</v>
      </c>
    </row>
    <row r="613" spans="1:1" x14ac:dyDescent="0.25">
      <c r="A613" s="1" t="s">
        <v>726</v>
      </c>
    </row>
    <row r="614" spans="1:1" x14ac:dyDescent="0.25">
      <c r="A614" s="1" t="s">
        <v>103</v>
      </c>
    </row>
    <row r="615" spans="1:1" x14ac:dyDescent="0.25">
      <c r="A615" s="1" t="s">
        <v>727</v>
      </c>
    </row>
    <row r="616" spans="1:1" x14ac:dyDescent="0.25">
      <c r="A616" s="1" t="s">
        <v>728</v>
      </c>
    </row>
    <row r="617" spans="1:1" x14ac:dyDescent="0.25">
      <c r="A617" s="1" t="s">
        <v>99</v>
      </c>
    </row>
    <row r="618" spans="1:1" x14ac:dyDescent="0.25">
      <c r="A618" s="1" t="s">
        <v>118</v>
      </c>
    </row>
    <row r="619" spans="1:1" x14ac:dyDescent="0.25">
      <c r="A619" s="1" t="s">
        <v>729</v>
      </c>
    </row>
    <row r="620" spans="1:1" x14ac:dyDescent="0.25">
      <c r="A620" s="1" t="s">
        <v>730</v>
      </c>
    </row>
    <row r="621" spans="1:1" x14ac:dyDescent="0.25">
      <c r="A621" s="1" t="s">
        <v>147</v>
      </c>
    </row>
    <row r="622" spans="1:1" x14ac:dyDescent="0.25">
      <c r="A622" s="1" t="s">
        <v>731</v>
      </c>
    </row>
    <row r="623" spans="1:1" x14ac:dyDescent="0.25">
      <c r="A623" s="1" t="s">
        <v>732</v>
      </c>
    </row>
    <row r="624" spans="1:1" x14ac:dyDescent="0.25">
      <c r="A624" s="1" t="s">
        <v>733</v>
      </c>
    </row>
    <row r="625" spans="1:1" x14ac:dyDescent="0.25">
      <c r="A625" s="1" t="s">
        <v>734</v>
      </c>
    </row>
    <row r="626" spans="1:1" x14ac:dyDescent="0.25">
      <c r="A626" s="1" t="s">
        <v>168</v>
      </c>
    </row>
    <row r="627" spans="1:1" x14ac:dyDescent="0.25">
      <c r="A627" s="1" t="s">
        <v>735</v>
      </c>
    </row>
    <row r="628" spans="1:1" x14ac:dyDescent="0.25">
      <c r="A628" s="1" t="s">
        <v>736</v>
      </c>
    </row>
    <row r="629" spans="1:1" x14ac:dyDescent="0.25">
      <c r="A629" s="1" t="s">
        <v>169</v>
      </c>
    </row>
    <row r="630" spans="1:1" x14ac:dyDescent="0.25">
      <c r="A630" s="1" t="s">
        <v>170</v>
      </c>
    </row>
    <row r="631" spans="1:1" x14ac:dyDescent="0.25">
      <c r="A631" s="1" t="s">
        <v>737</v>
      </c>
    </row>
    <row r="632" spans="1:1" x14ac:dyDescent="0.25">
      <c r="A632" s="1" t="s">
        <v>738</v>
      </c>
    </row>
    <row r="633" spans="1:1" x14ac:dyDescent="0.25">
      <c r="A633" s="1" t="s">
        <v>739</v>
      </c>
    </row>
    <row r="634" spans="1:1" x14ac:dyDescent="0.25">
      <c r="A634" s="1" t="s">
        <v>740</v>
      </c>
    </row>
    <row r="635" spans="1:1" x14ac:dyDescent="0.25">
      <c r="A635" s="1" t="s">
        <v>119</v>
      </c>
    </row>
    <row r="636" spans="1:1" x14ac:dyDescent="0.25">
      <c r="A636" s="1" t="s">
        <v>741</v>
      </c>
    </row>
    <row r="637" spans="1:1" x14ac:dyDescent="0.25">
      <c r="A637" s="1" t="s">
        <v>742</v>
      </c>
    </row>
    <row r="638" spans="1:1" x14ac:dyDescent="0.25">
      <c r="A638" s="1" t="s">
        <v>743</v>
      </c>
    </row>
    <row r="639" spans="1:1" x14ac:dyDescent="0.25">
      <c r="A639" s="1" t="s">
        <v>744</v>
      </c>
    </row>
    <row r="640" spans="1:1" x14ac:dyDescent="0.25">
      <c r="A640" s="1" t="s">
        <v>148</v>
      </c>
    </row>
    <row r="641" spans="1:1" x14ac:dyDescent="0.25">
      <c r="A641" s="1" t="s">
        <v>745</v>
      </c>
    </row>
    <row r="642" spans="1:1" x14ac:dyDescent="0.25">
      <c r="A642" s="1" t="s">
        <v>746</v>
      </c>
    </row>
    <row r="643" spans="1:1" x14ac:dyDescent="0.25">
      <c r="A643" s="1" t="s">
        <v>747</v>
      </c>
    </row>
    <row r="644" spans="1:1" x14ac:dyDescent="0.25">
      <c r="A644" s="1" t="s">
        <v>748</v>
      </c>
    </row>
    <row r="645" spans="1:1" x14ac:dyDescent="0.25">
      <c r="A645" s="1" t="s">
        <v>749</v>
      </c>
    </row>
    <row r="646" spans="1:1" x14ac:dyDescent="0.25">
      <c r="A646" s="1" t="s">
        <v>120</v>
      </c>
    </row>
    <row r="647" spans="1:1" x14ac:dyDescent="0.25">
      <c r="A647" s="1" t="s">
        <v>750</v>
      </c>
    </row>
    <row r="648" spans="1:1" x14ac:dyDescent="0.25">
      <c r="A648" s="1" t="s">
        <v>751</v>
      </c>
    </row>
    <row r="649" spans="1:1" x14ac:dyDescent="0.25">
      <c r="A649" s="1" t="s">
        <v>149</v>
      </c>
    </row>
    <row r="650" spans="1:1" x14ac:dyDescent="0.25">
      <c r="A650" s="1" t="s">
        <v>752</v>
      </c>
    </row>
    <row r="651" spans="1:1" x14ac:dyDescent="0.25">
      <c r="A651" s="1" t="s">
        <v>753</v>
      </c>
    </row>
    <row r="652" spans="1:1" x14ac:dyDescent="0.25">
      <c r="A652" s="1" t="s">
        <v>754</v>
      </c>
    </row>
    <row r="653" spans="1:1" x14ac:dyDescent="0.25">
      <c r="A653" s="1" t="s">
        <v>171</v>
      </c>
    </row>
    <row r="654" spans="1:1" x14ac:dyDescent="0.25">
      <c r="A654" s="1" t="s">
        <v>755</v>
      </c>
    </row>
    <row r="655" spans="1:1" x14ac:dyDescent="0.25">
      <c r="A655" s="1" t="s">
        <v>756</v>
      </c>
    </row>
    <row r="656" spans="1:1" x14ac:dyDescent="0.25">
      <c r="A656" s="1" t="s">
        <v>757</v>
      </c>
    </row>
    <row r="657" spans="1:1" x14ac:dyDescent="0.25">
      <c r="A657" s="1" t="s">
        <v>758</v>
      </c>
    </row>
    <row r="658" spans="1:1" x14ac:dyDescent="0.25">
      <c r="A658" s="1" t="s">
        <v>123</v>
      </c>
    </row>
    <row r="659" spans="1:1" x14ac:dyDescent="0.25">
      <c r="A659" s="1" t="s">
        <v>759</v>
      </c>
    </row>
    <row r="660" spans="1:1" x14ac:dyDescent="0.25">
      <c r="A660" s="1" t="s">
        <v>760</v>
      </c>
    </row>
    <row r="661" spans="1:1" x14ac:dyDescent="0.25">
      <c r="A661" s="1" t="s">
        <v>761</v>
      </c>
    </row>
    <row r="662" spans="1:1" x14ac:dyDescent="0.25">
      <c r="A662" s="1" t="s">
        <v>762</v>
      </c>
    </row>
    <row r="663" spans="1:1" x14ac:dyDescent="0.25">
      <c r="A663" s="1" t="s">
        <v>763</v>
      </c>
    </row>
    <row r="664" spans="1:1" x14ac:dyDescent="0.25">
      <c r="A664" s="1" t="s">
        <v>124</v>
      </c>
    </row>
    <row r="665" spans="1:1" x14ac:dyDescent="0.25">
      <c r="A665" s="1" t="s">
        <v>764</v>
      </c>
    </row>
    <row r="666" spans="1:1" x14ac:dyDescent="0.25">
      <c r="A666" s="1" t="s">
        <v>765</v>
      </c>
    </row>
    <row r="667" spans="1:1" x14ac:dyDescent="0.25">
      <c r="A667" s="1" t="s">
        <v>125</v>
      </c>
    </row>
    <row r="668" spans="1:1" x14ac:dyDescent="0.25">
      <c r="A668" s="1" t="s">
        <v>766</v>
      </c>
    </row>
    <row r="669" spans="1:1" x14ac:dyDescent="0.25">
      <c r="A669" s="1" t="s">
        <v>767</v>
      </c>
    </row>
    <row r="670" spans="1:1" x14ac:dyDescent="0.25">
      <c r="A670" s="1" t="s">
        <v>768</v>
      </c>
    </row>
    <row r="671" spans="1:1" x14ac:dyDescent="0.25">
      <c r="A671" s="1" t="s">
        <v>769</v>
      </c>
    </row>
    <row r="672" spans="1:1" x14ac:dyDescent="0.25">
      <c r="A672" s="1" t="s">
        <v>770</v>
      </c>
    </row>
    <row r="673" spans="1:1" x14ac:dyDescent="0.25">
      <c r="A673" s="1" t="s">
        <v>771</v>
      </c>
    </row>
    <row r="674" spans="1:1" x14ac:dyDescent="0.25">
      <c r="A674" s="1" t="s">
        <v>772</v>
      </c>
    </row>
    <row r="675" spans="1:1" x14ac:dyDescent="0.25">
      <c r="A675" s="1" t="s">
        <v>773</v>
      </c>
    </row>
    <row r="676" spans="1:1" x14ac:dyDescent="0.25">
      <c r="A676" s="1" t="s">
        <v>774</v>
      </c>
    </row>
    <row r="677" spans="1:1" x14ac:dyDescent="0.25">
      <c r="A677" s="1" t="s">
        <v>775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1"/>
  <sheetViews>
    <sheetView workbookViewId="0">
      <pane ySplit="1" topLeftCell="A2" activePane="bottomLeft" state="frozen"/>
      <selection activeCell="B28" sqref="B28"/>
      <selection pane="bottomLeft" activeCell="B28" sqref="B28"/>
    </sheetView>
  </sheetViews>
  <sheetFormatPr defaultRowHeight="15" x14ac:dyDescent="0.25"/>
  <cols>
    <col min="1" max="1" width="7" bestFit="1" customWidth="1"/>
    <col min="2" max="2" width="11.85546875" bestFit="1" customWidth="1"/>
    <col min="3" max="3" width="6.140625" bestFit="1" customWidth="1"/>
    <col min="4" max="4" width="8.85546875" bestFit="1" customWidth="1"/>
    <col min="5" max="5" width="9.42578125" bestFit="1" customWidth="1"/>
  </cols>
  <sheetData>
    <row r="1" spans="1:5" x14ac:dyDescent="0.25">
      <c r="A1" s="61" t="s">
        <v>13</v>
      </c>
      <c r="B1" s="60" t="s">
        <v>75</v>
      </c>
      <c r="C1" t="s">
        <v>53</v>
      </c>
      <c r="D1" s="60" t="s">
        <v>61</v>
      </c>
      <c r="E1" s="60" t="s">
        <v>88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M13"/>
  <sheetViews>
    <sheetView workbookViewId="0">
      <pane ySplit="1" topLeftCell="A912" activePane="bottomLeft" state="frozen"/>
      <selection activeCell="B28" sqref="B28"/>
      <selection pane="bottomLeft" activeCell="B28" sqref="B28"/>
    </sheetView>
  </sheetViews>
  <sheetFormatPr defaultRowHeight="15" x14ac:dyDescent="0.25"/>
  <cols>
    <col min="1" max="1" width="7" style="60" bestFit="1" customWidth="1"/>
    <col min="2" max="2" width="11.85546875" style="60" bestFit="1" customWidth="1"/>
    <col min="3" max="3" width="11.42578125" style="60" bestFit="1" customWidth="1"/>
    <col min="4" max="4" width="12.7109375" style="60" bestFit="1" customWidth="1"/>
    <col min="5" max="5" width="8.85546875" style="60" bestFit="1" customWidth="1"/>
    <col min="6" max="6" width="16.42578125" style="60" bestFit="1" customWidth="1"/>
    <col min="7" max="7" width="7.140625" style="60" bestFit="1" customWidth="1"/>
    <col min="8" max="8" width="6.7109375" style="60" bestFit="1" customWidth="1"/>
    <col min="9" max="9" width="8.42578125" style="60" bestFit="1" customWidth="1"/>
    <col min="10" max="10" width="7.28515625" style="60" bestFit="1" customWidth="1"/>
    <col min="11" max="12" width="6" style="60" bestFit="1" customWidth="1"/>
    <col min="13" max="13" width="6.140625" style="60" bestFit="1" customWidth="1"/>
    <col min="14" max="16384" width="9.140625" style="60"/>
  </cols>
  <sheetData>
    <row r="1" spans="1:13" x14ac:dyDescent="0.25">
      <c r="A1" s="61" t="s">
        <v>13</v>
      </c>
      <c r="B1" s="60" t="s">
        <v>75</v>
      </c>
      <c r="C1" s="60" t="s">
        <v>76</v>
      </c>
      <c r="D1" s="60" t="s">
        <v>77</v>
      </c>
      <c r="E1" s="60" t="s">
        <v>61</v>
      </c>
      <c r="F1" s="60" t="s">
        <v>78</v>
      </c>
      <c r="G1" s="60" t="s">
        <v>79</v>
      </c>
      <c r="H1" s="60" t="s">
        <v>80</v>
      </c>
      <c r="I1" s="60" t="s">
        <v>81</v>
      </c>
      <c r="J1" s="60" t="s">
        <v>82</v>
      </c>
      <c r="K1" s="60" t="s">
        <v>11</v>
      </c>
      <c r="L1" s="60" t="s">
        <v>10</v>
      </c>
      <c r="M1" s="60" t="s">
        <v>83</v>
      </c>
    </row>
    <row r="2" spans="1:13" x14ac:dyDescent="0.25">
      <c r="A2" s="62">
        <v>0</v>
      </c>
      <c r="B2" s="60" t="s">
        <v>1</v>
      </c>
      <c r="C2" s="60" t="s">
        <v>244</v>
      </c>
      <c r="D2" s="60" t="s">
        <v>245</v>
      </c>
      <c r="E2" s="60" t="s">
        <v>127</v>
      </c>
      <c r="F2" s="60" t="s">
        <v>248</v>
      </c>
      <c r="G2" s="60">
        <v>1</v>
      </c>
      <c r="H2" s="60" t="s">
        <v>122</v>
      </c>
    </row>
    <row r="3" spans="1:13" x14ac:dyDescent="0.25">
      <c r="A3" s="62">
        <v>0</v>
      </c>
      <c r="B3" s="60" t="s">
        <v>1</v>
      </c>
      <c r="C3" s="60" t="s">
        <v>244</v>
      </c>
      <c r="D3" s="60" t="s">
        <v>246</v>
      </c>
      <c r="E3" s="60" t="s">
        <v>127</v>
      </c>
      <c r="F3" s="60" t="s">
        <v>249</v>
      </c>
      <c r="G3" s="60">
        <v>2</v>
      </c>
      <c r="H3" s="60" t="s">
        <v>122</v>
      </c>
    </row>
    <row r="4" spans="1:13" x14ac:dyDescent="0.25">
      <c r="A4" s="62">
        <v>0</v>
      </c>
      <c r="B4" s="60" t="s">
        <v>1</v>
      </c>
      <c r="C4" s="60" t="s">
        <v>244</v>
      </c>
      <c r="D4" s="60" t="s">
        <v>247</v>
      </c>
      <c r="E4" s="60" t="s">
        <v>127</v>
      </c>
      <c r="F4" s="60" t="s">
        <v>250</v>
      </c>
      <c r="G4" s="60">
        <v>3</v>
      </c>
      <c r="H4" s="60" t="s">
        <v>122</v>
      </c>
    </row>
    <row r="5" spans="1:13" x14ac:dyDescent="0.25">
      <c r="A5" s="62">
        <v>0</v>
      </c>
      <c r="B5" s="60" t="s">
        <v>1</v>
      </c>
      <c r="C5" s="60" t="s">
        <v>244</v>
      </c>
      <c r="D5" s="60" t="s">
        <v>203</v>
      </c>
      <c r="E5" s="60" t="s">
        <v>127</v>
      </c>
      <c r="F5" s="60" t="s">
        <v>251</v>
      </c>
      <c r="G5" s="60">
        <v>4</v>
      </c>
      <c r="H5" s="60" t="s">
        <v>122</v>
      </c>
    </row>
    <row r="6" spans="1:13" x14ac:dyDescent="0.25">
      <c r="A6" s="60">
        <v>0</v>
      </c>
      <c r="B6" s="60" t="s">
        <v>1</v>
      </c>
      <c r="C6" s="60" t="s">
        <v>244</v>
      </c>
      <c r="D6" s="60" t="s">
        <v>189</v>
      </c>
      <c r="E6" s="60" t="s">
        <v>127</v>
      </c>
      <c r="F6" s="60" t="s">
        <v>252</v>
      </c>
      <c r="G6" s="60">
        <v>5</v>
      </c>
      <c r="H6" s="60" t="s">
        <v>122</v>
      </c>
    </row>
    <row r="7" spans="1:13" x14ac:dyDescent="0.25">
      <c r="A7" s="60">
        <v>0</v>
      </c>
      <c r="B7" s="60" t="s">
        <v>1</v>
      </c>
      <c r="C7" s="60" t="s">
        <v>244</v>
      </c>
      <c r="D7" s="60" t="s">
        <v>182</v>
      </c>
      <c r="E7" s="60" t="s">
        <v>127</v>
      </c>
      <c r="F7" s="60" t="s">
        <v>253</v>
      </c>
      <c r="G7" s="60">
        <v>5</v>
      </c>
      <c r="H7" s="60" t="s">
        <v>122</v>
      </c>
    </row>
    <row r="8" spans="1:13" x14ac:dyDescent="0.25">
      <c r="A8" s="60">
        <v>0</v>
      </c>
      <c r="B8" s="60" t="s">
        <v>1</v>
      </c>
      <c r="C8" s="60" t="s">
        <v>244</v>
      </c>
      <c r="D8" s="60" t="s">
        <v>211</v>
      </c>
      <c r="E8" s="60" t="s">
        <v>127</v>
      </c>
      <c r="F8" s="60" t="s">
        <v>254</v>
      </c>
      <c r="G8" s="60">
        <v>6</v>
      </c>
      <c r="H8" s="60" t="s">
        <v>122</v>
      </c>
    </row>
    <row r="9" spans="1:13" x14ac:dyDescent="0.25">
      <c r="A9" s="60">
        <v>0</v>
      </c>
      <c r="B9" s="60" t="s">
        <v>1</v>
      </c>
      <c r="C9" s="60" t="s">
        <v>244</v>
      </c>
      <c r="D9" s="60" t="s">
        <v>169</v>
      </c>
      <c r="E9" s="60" t="s">
        <v>127</v>
      </c>
      <c r="F9" s="60" t="s">
        <v>255</v>
      </c>
      <c r="G9" s="60">
        <v>7</v>
      </c>
      <c r="H9" s="60" t="s">
        <v>122</v>
      </c>
    </row>
    <row r="10" spans="1:13" x14ac:dyDescent="0.25">
      <c r="A10" s="60">
        <v>0</v>
      </c>
      <c r="B10" s="60" t="s">
        <v>1</v>
      </c>
      <c r="C10" s="60" t="s">
        <v>244</v>
      </c>
      <c r="D10" s="60" t="s">
        <v>135</v>
      </c>
      <c r="E10" s="60" t="s">
        <v>127</v>
      </c>
      <c r="F10" s="60" t="s">
        <v>136</v>
      </c>
      <c r="G10" s="60">
        <v>8</v>
      </c>
      <c r="H10" s="60" t="s">
        <v>122</v>
      </c>
    </row>
    <row r="11" spans="1:13" x14ac:dyDescent="0.25">
      <c r="A11" s="60">
        <v>0</v>
      </c>
      <c r="B11" s="60" t="s">
        <v>1</v>
      </c>
      <c r="C11" s="60" t="s">
        <v>244</v>
      </c>
      <c r="D11" s="60" t="s">
        <v>126</v>
      </c>
      <c r="E11" s="60" t="s">
        <v>127</v>
      </c>
      <c r="F11" s="60" t="s">
        <v>128</v>
      </c>
      <c r="G11" s="60">
        <v>8</v>
      </c>
      <c r="H11" s="60" t="s">
        <v>122</v>
      </c>
    </row>
    <row r="12" spans="1:13" x14ac:dyDescent="0.25">
      <c r="A12" s="60">
        <v>0</v>
      </c>
      <c r="B12" s="60" t="s">
        <v>1</v>
      </c>
      <c r="C12" s="60" t="s">
        <v>244</v>
      </c>
      <c r="D12" s="60" t="s">
        <v>139</v>
      </c>
      <c r="E12" s="60" t="s">
        <v>127</v>
      </c>
      <c r="F12" s="60" t="s">
        <v>140</v>
      </c>
      <c r="G12" s="60">
        <v>9</v>
      </c>
      <c r="H12" s="60" t="s">
        <v>122</v>
      </c>
    </row>
    <row r="13" spans="1:13" x14ac:dyDescent="0.25">
      <c r="A13" s="60">
        <v>0</v>
      </c>
      <c r="B13" s="60" t="s">
        <v>1</v>
      </c>
      <c r="C13" s="60" t="s">
        <v>244</v>
      </c>
      <c r="D13" s="60" t="s">
        <v>120</v>
      </c>
      <c r="E13" s="60" t="s">
        <v>127</v>
      </c>
      <c r="F13" s="60" t="s">
        <v>121</v>
      </c>
      <c r="G13" s="60">
        <v>10</v>
      </c>
      <c r="H13" s="60" t="s">
        <v>122</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
  <sheetViews>
    <sheetView workbookViewId="0">
      <pane ySplit="1" topLeftCell="A577" activePane="bottomLeft" state="frozen"/>
      <selection activeCell="B28" sqref="B28"/>
      <selection pane="bottomLeft" activeCell="B28" sqref="B28"/>
    </sheetView>
  </sheetViews>
  <sheetFormatPr defaultRowHeight="15" x14ac:dyDescent="0.25"/>
  <cols>
    <col min="1" max="1" width="7" bestFit="1" customWidth="1"/>
    <col min="2" max="2" width="11.85546875" bestFit="1" customWidth="1"/>
    <col min="3" max="3" width="11.42578125" bestFit="1" customWidth="1"/>
    <col min="4" max="4" width="12.7109375" bestFit="1" customWidth="1"/>
    <col min="5" max="5" width="8.85546875" bestFit="1" customWidth="1"/>
    <col min="6" max="6" width="16.42578125" bestFit="1" customWidth="1"/>
  </cols>
  <sheetData>
    <row r="1" spans="1:7" x14ac:dyDescent="0.25">
      <c r="A1" s="61" t="s">
        <v>13</v>
      </c>
      <c r="B1" s="60" t="s">
        <v>75</v>
      </c>
      <c r="C1" s="60" t="s">
        <v>76</v>
      </c>
      <c r="D1" s="60" t="s">
        <v>77</v>
      </c>
      <c r="E1" s="60" t="s">
        <v>61</v>
      </c>
      <c r="F1" s="60" t="s">
        <v>78</v>
      </c>
      <c r="G1" s="60" t="s">
        <v>89</v>
      </c>
    </row>
  </sheetData>
  <autoFilter ref="A1:G639"/>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1"/>
  <sheetViews>
    <sheetView workbookViewId="0">
      <pane ySplit="1" topLeftCell="A182" activePane="bottomLeft" state="frozen"/>
      <selection activeCell="B28" sqref="B28"/>
      <selection pane="bottomLeft" activeCell="B28" sqref="B28"/>
    </sheetView>
  </sheetViews>
  <sheetFormatPr defaultRowHeight="15" x14ac:dyDescent="0.25"/>
  <cols>
    <col min="1" max="1" width="7" bestFit="1" customWidth="1"/>
    <col min="2" max="2" width="11.85546875" bestFit="1" customWidth="1"/>
    <col min="3" max="3" width="11.42578125" bestFit="1" customWidth="1"/>
    <col min="4" max="4" width="12.7109375" bestFit="1" customWidth="1"/>
    <col min="5" max="5" width="8.85546875" bestFit="1" customWidth="1"/>
    <col min="8" max="8" width="12.85546875" bestFit="1" customWidth="1"/>
  </cols>
  <sheetData>
    <row r="1" spans="1:10" x14ac:dyDescent="0.25">
      <c r="A1" s="61" t="s">
        <v>13</v>
      </c>
      <c r="B1" s="60" t="s">
        <v>75</v>
      </c>
      <c r="C1" s="60" t="s">
        <v>76</v>
      </c>
      <c r="D1" s="60" t="s">
        <v>77</v>
      </c>
      <c r="E1" s="60" t="s">
        <v>61</v>
      </c>
      <c r="F1" s="60" t="s">
        <v>90</v>
      </c>
      <c r="G1" s="60" t="s">
        <v>79</v>
      </c>
      <c r="H1" s="60" t="s">
        <v>91</v>
      </c>
      <c r="I1" s="60"/>
      <c r="J1" s="60"/>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1"/>
  <sheetViews>
    <sheetView workbookViewId="0">
      <pane ySplit="1" topLeftCell="A2" activePane="bottomLeft" state="frozen"/>
      <selection activeCell="B28" sqref="B28"/>
      <selection pane="bottomLeft" activeCell="B28" sqref="B28"/>
    </sheetView>
  </sheetViews>
  <sheetFormatPr defaultRowHeight="15" x14ac:dyDescent="0.25"/>
  <cols>
    <col min="1" max="1" width="7" bestFit="1" customWidth="1"/>
    <col min="2" max="2" width="11.85546875" bestFit="1" customWidth="1"/>
    <col min="3" max="3" width="11.42578125" bestFit="1" customWidth="1"/>
    <col min="4" max="4" width="12.7109375" bestFit="1" customWidth="1"/>
    <col min="5" max="5" width="22.7109375" bestFit="1" customWidth="1"/>
    <col min="6" max="6" width="6" bestFit="1" customWidth="1"/>
    <col min="7" max="7" width="24.7109375" bestFit="1" customWidth="1"/>
    <col min="8" max="8" width="13.28515625" customWidth="1"/>
  </cols>
  <sheetData>
    <row r="1" spans="1:9" x14ac:dyDescent="0.25">
      <c r="A1" s="61" t="s">
        <v>13</v>
      </c>
      <c r="B1" s="60" t="s">
        <v>75</v>
      </c>
      <c r="C1" s="60" t="s">
        <v>76</v>
      </c>
      <c r="D1" s="60" t="s">
        <v>77</v>
      </c>
      <c r="E1" s="60" t="s">
        <v>78</v>
      </c>
      <c r="F1" s="60" t="s">
        <v>92</v>
      </c>
      <c r="G1" s="60" t="s">
        <v>243</v>
      </c>
      <c r="H1" s="60" t="s">
        <v>80</v>
      </c>
      <c r="I1" s="60" t="s">
        <v>74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1"/>
  <sheetViews>
    <sheetView workbookViewId="0">
      <pane ySplit="1" topLeftCell="A2" activePane="bottomLeft" state="frozen"/>
      <selection activeCell="B28" sqref="B28"/>
      <selection pane="bottomLeft" activeCell="B28" sqref="B28"/>
    </sheetView>
  </sheetViews>
  <sheetFormatPr defaultRowHeight="15" x14ac:dyDescent="0.25"/>
  <cols>
    <col min="1" max="1" width="7" bestFit="1" customWidth="1"/>
    <col min="2" max="2" width="11.85546875" bestFit="1" customWidth="1"/>
    <col min="3" max="3" width="11.42578125" bestFit="1" customWidth="1"/>
    <col min="4" max="4" width="24.28515625" bestFit="1" customWidth="1"/>
    <col min="6" max="6" width="11.42578125" bestFit="1" customWidth="1"/>
    <col min="7" max="7" width="15" bestFit="1" customWidth="1"/>
  </cols>
  <sheetData>
    <row r="1" spans="1:7" x14ac:dyDescent="0.25">
      <c r="A1" s="61" t="s">
        <v>13</v>
      </c>
      <c r="B1" s="60" t="s">
        <v>75</v>
      </c>
      <c r="C1" s="60" t="s">
        <v>76</v>
      </c>
      <c r="D1" t="s">
        <v>79</v>
      </c>
      <c r="E1" t="s">
        <v>93</v>
      </c>
      <c r="F1" t="s">
        <v>94</v>
      </c>
      <c r="G1" t="s">
        <v>95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84"/>
  <sheetViews>
    <sheetView workbookViewId="0">
      <selection activeCell="A85" sqref="A85"/>
    </sheetView>
  </sheetViews>
  <sheetFormatPr defaultRowHeight="15" x14ac:dyDescent="0.25"/>
  <sheetData>
    <row r="1" spans="1:10" ht="23.25" x14ac:dyDescent="0.35">
      <c r="A1" s="107" t="s">
        <v>68</v>
      </c>
    </row>
    <row r="3" spans="1:10" x14ac:dyDescent="0.25">
      <c r="A3" s="108" t="s">
        <v>776</v>
      </c>
      <c r="B3" s="108"/>
      <c r="C3" s="108"/>
      <c r="D3" s="108"/>
      <c r="E3" s="108"/>
      <c r="F3" s="108"/>
      <c r="G3" s="108"/>
      <c r="H3" s="108"/>
      <c r="I3" s="108"/>
      <c r="J3" s="108"/>
    </row>
    <row r="4" spans="1:10" x14ac:dyDescent="0.25">
      <c r="A4" s="108"/>
      <c r="B4" s="108"/>
      <c r="C4" s="108"/>
      <c r="D4" s="108"/>
      <c r="E4" s="108"/>
      <c r="F4" s="108"/>
      <c r="G4" s="108"/>
      <c r="H4" s="108"/>
      <c r="I4" s="108"/>
      <c r="J4" s="108"/>
    </row>
    <row r="5" spans="1:10" x14ac:dyDescent="0.25">
      <c r="A5" s="108"/>
      <c r="B5" s="108"/>
      <c r="C5" s="108"/>
      <c r="D5" s="108"/>
      <c r="E5" s="108"/>
      <c r="F5" s="108"/>
      <c r="G5" s="108"/>
      <c r="H5" s="108"/>
      <c r="I5" s="108"/>
      <c r="J5" s="108"/>
    </row>
    <row r="7" spans="1:10" x14ac:dyDescent="0.25">
      <c r="A7" s="106" t="s">
        <v>777</v>
      </c>
    </row>
    <row r="8" spans="1:10" x14ac:dyDescent="0.25">
      <c r="A8" t="s">
        <v>781</v>
      </c>
    </row>
    <row r="9" spans="1:10" x14ac:dyDescent="0.25">
      <c r="A9" s="1" t="s">
        <v>778</v>
      </c>
      <c r="B9" s="109" t="s">
        <v>779</v>
      </c>
    </row>
    <row r="10" spans="1:10" ht="15" customHeight="1" x14ac:dyDescent="0.25">
      <c r="B10" s="108" t="s">
        <v>783</v>
      </c>
      <c r="C10" s="108"/>
      <c r="D10" s="108"/>
      <c r="E10" s="108"/>
      <c r="F10" s="108"/>
      <c r="G10" s="108"/>
      <c r="H10" s="108"/>
      <c r="I10" s="108"/>
      <c r="J10" s="108"/>
    </row>
    <row r="11" spans="1:10" x14ac:dyDescent="0.25">
      <c r="B11" s="108"/>
      <c r="C11" s="108"/>
      <c r="D11" s="108"/>
      <c r="E11" s="108"/>
      <c r="F11" s="108"/>
      <c r="G11" s="108"/>
      <c r="H11" s="108"/>
      <c r="I11" s="108"/>
      <c r="J11" s="108"/>
    </row>
    <row r="12" spans="1:10" x14ac:dyDescent="0.25">
      <c r="B12" s="108"/>
      <c r="C12" s="108"/>
      <c r="D12" s="108"/>
      <c r="E12" s="108"/>
      <c r="F12" s="108"/>
      <c r="G12" s="108"/>
      <c r="H12" s="108"/>
      <c r="I12" s="108"/>
      <c r="J12" s="108"/>
    </row>
    <row r="13" spans="1:10" x14ac:dyDescent="0.25">
      <c r="B13" s="108"/>
      <c r="C13" s="108"/>
      <c r="D13" s="108"/>
      <c r="E13" s="108"/>
      <c r="F13" s="108"/>
      <c r="G13" s="108"/>
      <c r="H13" s="108"/>
      <c r="I13" s="108"/>
      <c r="J13" s="108"/>
    </row>
    <row r="14" spans="1:10" x14ac:dyDescent="0.25">
      <c r="A14" s="1" t="s">
        <v>780</v>
      </c>
      <c r="B14" s="109" t="s">
        <v>782</v>
      </c>
    </row>
    <row r="15" spans="1:10" x14ac:dyDescent="0.25">
      <c r="B15" s="108" t="s">
        <v>784</v>
      </c>
      <c r="C15" s="108"/>
      <c r="D15" s="108"/>
      <c r="E15" s="108"/>
      <c r="F15" s="108"/>
      <c r="G15" s="108"/>
      <c r="H15" s="108"/>
      <c r="I15" s="108"/>
      <c r="J15" s="108"/>
    </row>
    <row r="16" spans="1:10" x14ac:dyDescent="0.25">
      <c r="B16" s="108"/>
      <c r="C16" s="108"/>
      <c r="D16" s="108"/>
      <c r="E16" s="108"/>
      <c r="F16" s="108"/>
      <c r="G16" s="108"/>
      <c r="H16" s="108"/>
      <c r="I16" s="108"/>
      <c r="J16" s="108"/>
    </row>
    <row r="17" spans="1:10" x14ac:dyDescent="0.25">
      <c r="B17" s="108"/>
      <c r="C17" s="108"/>
      <c r="D17" s="108"/>
      <c r="E17" s="108"/>
      <c r="F17" s="108"/>
      <c r="G17" s="108"/>
      <c r="H17" s="108"/>
      <c r="I17" s="108"/>
      <c r="J17" s="108"/>
    </row>
    <row r="18" spans="1:10" x14ac:dyDescent="0.25">
      <c r="B18" s="108"/>
      <c r="C18" s="108"/>
      <c r="D18" s="108"/>
      <c r="E18" s="108"/>
      <c r="F18" s="108"/>
      <c r="G18" s="108"/>
      <c r="H18" s="108"/>
      <c r="I18" s="108"/>
      <c r="J18" s="108"/>
    </row>
    <row r="19" spans="1:10" x14ac:dyDescent="0.25">
      <c r="A19" s="1" t="s">
        <v>785</v>
      </c>
      <c r="B19" s="109" t="s">
        <v>786</v>
      </c>
    </row>
    <row r="20" spans="1:10" x14ac:dyDescent="0.25">
      <c r="B20" s="110" t="s">
        <v>787</v>
      </c>
      <c r="C20" s="110"/>
      <c r="D20" s="110"/>
      <c r="E20" s="110"/>
      <c r="F20" s="110"/>
      <c r="G20" s="110"/>
      <c r="H20" s="110"/>
      <c r="I20" s="110"/>
      <c r="J20" s="110"/>
    </row>
    <row r="21" spans="1:10" x14ac:dyDescent="0.25">
      <c r="B21" s="110"/>
      <c r="C21" s="110"/>
      <c r="D21" s="110"/>
      <c r="E21" s="110"/>
      <c r="F21" s="110"/>
      <c r="G21" s="110"/>
      <c r="H21" s="110"/>
      <c r="I21" s="110"/>
      <c r="J21" s="110"/>
    </row>
    <row r="22" spans="1:10" x14ac:dyDescent="0.25">
      <c r="B22" s="110"/>
      <c r="C22" s="110"/>
      <c r="D22" s="110"/>
      <c r="E22" s="110"/>
      <c r="F22" s="110"/>
      <c r="G22" s="110"/>
      <c r="H22" s="110"/>
      <c r="I22" s="110"/>
      <c r="J22" s="110"/>
    </row>
    <row r="23" spans="1:10" x14ac:dyDescent="0.25">
      <c r="B23" s="110"/>
      <c r="C23" s="110"/>
      <c r="D23" s="110"/>
      <c r="E23" s="110"/>
      <c r="F23" s="110"/>
      <c r="G23" s="110"/>
      <c r="H23" s="110"/>
      <c r="I23" s="110"/>
      <c r="J23" s="110"/>
    </row>
    <row r="25" spans="1:10" x14ac:dyDescent="0.25">
      <c r="A25" s="106" t="s">
        <v>788</v>
      </c>
    </row>
    <row r="26" spans="1:10" x14ac:dyDescent="0.25">
      <c r="A26" s="108" t="s">
        <v>789</v>
      </c>
      <c r="B26" s="108"/>
      <c r="C26" s="108"/>
      <c r="D26" s="108"/>
      <c r="E26" s="108"/>
      <c r="F26" s="108"/>
      <c r="G26" s="108"/>
      <c r="H26" s="108"/>
      <c r="I26" s="108"/>
      <c r="J26" s="108"/>
    </row>
    <row r="27" spans="1:10" x14ac:dyDescent="0.25">
      <c r="A27" s="108"/>
      <c r="B27" s="108"/>
      <c r="C27" s="108"/>
      <c r="D27" s="108"/>
      <c r="E27" s="108"/>
      <c r="F27" s="108"/>
      <c r="G27" s="108"/>
      <c r="H27" s="108"/>
      <c r="I27" s="108"/>
      <c r="J27" s="108"/>
    </row>
    <row r="28" spans="1:10" x14ac:dyDescent="0.25">
      <c r="A28" s="108"/>
      <c r="B28" s="108"/>
      <c r="C28" s="108"/>
      <c r="D28" s="108"/>
      <c r="E28" s="108"/>
      <c r="F28" s="108"/>
      <c r="G28" s="108"/>
      <c r="H28" s="108"/>
      <c r="I28" s="108"/>
      <c r="J28" s="108"/>
    </row>
    <row r="29" spans="1:10" x14ac:dyDescent="0.25">
      <c r="A29" s="108"/>
      <c r="B29" s="108"/>
      <c r="C29" s="108"/>
      <c r="D29" s="108"/>
      <c r="E29" s="108"/>
      <c r="F29" s="108"/>
      <c r="G29" s="108"/>
      <c r="H29" s="108"/>
      <c r="I29" s="108"/>
      <c r="J29" s="108"/>
    </row>
    <row r="31" spans="1:10" x14ac:dyDescent="0.25">
      <c r="A31" s="111" t="s">
        <v>791</v>
      </c>
      <c r="B31" s="3" t="s">
        <v>794</v>
      </c>
      <c r="C31" s="4" t="s">
        <v>796</v>
      </c>
      <c r="E31" s="116" t="s">
        <v>799</v>
      </c>
      <c r="F31" s="116"/>
      <c r="G31" s="116"/>
      <c r="H31" s="116"/>
      <c r="I31" s="116"/>
      <c r="J31" s="116"/>
    </row>
    <row r="32" spans="1:10" x14ac:dyDescent="0.25">
      <c r="A32" s="12" t="s">
        <v>792</v>
      </c>
      <c r="B32" s="6" t="s">
        <v>790</v>
      </c>
      <c r="C32" s="7" t="s">
        <v>797</v>
      </c>
      <c r="E32" s="116"/>
      <c r="F32" s="116"/>
      <c r="G32" s="116"/>
      <c r="H32" s="116"/>
      <c r="I32" s="116"/>
      <c r="J32" s="116"/>
    </row>
    <row r="33" spans="1:10" x14ac:dyDescent="0.25">
      <c r="A33" s="112" t="s">
        <v>793</v>
      </c>
      <c r="B33" s="113" t="s">
        <v>795</v>
      </c>
      <c r="C33" s="114" t="s">
        <v>798</v>
      </c>
      <c r="E33" s="116"/>
      <c r="F33" s="116"/>
      <c r="G33" s="116"/>
      <c r="H33" s="116"/>
      <c r="I33" s="116"/>
      <c r="J33" s="116"/>
    </row>
    <row r="35" spans="1:10" x14ac:dyDescent="0.25">
      <c r="A35" s="121" t="s">
        <v>826</v>
      </c>
    </row>
    <row r="37" spans="1:10" x14ac:dyDescent="0.25">
      <c r="A37" s="106" t="s">
        <v>827</v>
      </c>
    </row>
    <row r="39" spans="1:10" x14ac:dyDescent="0.25">
      <c r="A39" s="117" t="s">
        <v>790</v>
      </c>
      <c r="C39" s="115" t="s">
        <v>806</v>
      </c>
    </row>
    <row r="40" spans="1:10" x14ac:dyDescent="0.25">
      <c r="C40" s="115" t="s">
        <v>800</v>
      </c>
      <c r="F40" t="s">
        <v>803</v>
      </c>
      <c r="G40" t="s">
        <v>804</v>
      </c>
    </row>
    <row r="41" spans="1:10" x14ac:dyDescent="0.25">
      <c r="D41" s="118" t="s">
        <v>802</v>
      </c>
      <c r="I41" s="119" t="s">
        <v>814</v>
      </c>
    </row>
    <row r="42" spans="1:10" x14ac:dyDescent="0.25">
      <c r="D42" s="118" t="s">
        <v>801</v>
      </c>
      <c r="I42" s="119" t="s">
        <v>815</v>
      </c>
    </row>
    <row r="43" spans="1:10" x14ac:dyDescent="0.25">
      <c r="D43" s="118" t="s">
        <v>805</v>
      </c>
      <c r="I43" s="119" t="s">
        <v>815</v>
      </c>
    </row>
    <row r="45" spans="1:10" x14ac:dyDescent="0.25">
      <c r="C45" s="115" t="s">
        <v>807</v>
      </c>
    </row>
    <row r="46" spans="1:10" x14ac:dyDescent="0.25">
      <c r="C46" s="115" t="s">
        <v>808</v>
      </c>
      <c r="F46" t="s">
        <v>803</v>
      </c>
      <c r="G46" t="s">
        <v>55</v>
      </c>
    </row>
    <row r="47" spans="1:10" x14ac:dyDescent="0.25">
      <c r="D47" s="118" t="s">
        <v>809</v>
      </c>
      <c r="I47" s="119" t="s">
        <v>814</v>
      </c>
    </row>
    <row r="48" spans="1:10" x14ac:dyDescent="0.25">
      <c r="D48" s="118" t="s">
        <v>810</v>
      </c>
      <c r="I48" s="119" t="s">
        <v>815</v>
      </c>
    </row>
    <row r="49" spans="1:9" x14ac:dyDescent="0.25">
      <c r="D49" s="118"/>
      <c r="I49" s="119"/>
    </row>
    <row r="50" spans="1:9" x14ac:dyDescent="0.25">
      <c r="C50" s="115" t="s">
        <v>825</v>
      </c>
      <c r="D50" s="118"/>
      <c r="I50" s="119"/>
    </row>
    <row r="51" spans="1:9" x14ac:dyDescent="0.25">
      <c r="C51" t="s">
        <v>824</v>
      </c>
      <c r="D51" s="118"/>
      <c r="I51" s="119"/>
    </row>
    <row r="52" spans="1:9" x14ac:dyDescent="0.25">
      <c r="D52" s="122" t="s">
        <v>828</v>
      </c>
      <c r="E52" s="122"/>
      <c r="F52" s="122"/>
      <c r="G52" s="122"/>
      <c r="H52" s="122"/>
      <c r="I52" s="119" t="s">
        <v>814</v>
      </c>
    </row>
    <row r="53" spans="1:9" x14ac:dyDescent="0.25">
      <c r="D53" s="122"/>
      <c r="E53" s="122"/>
      <c r="F53" s="122"/>
      <c r="G53" s="122"/>
      <c r="H53" s="122"/>
      <c r="I53" s="119"/>
    </row>
    <row r="54" spans="1:9" x14ac:dyDescent="0.25">
      <c r="D54" s="122" t="s">
        <v>829</v>
      </c>
      <c r="E54" s="122"/>
      <c r="F54" s="122"/>
      <c r="G54" s="122"/>
      <c r="H54" s="122"/>
      <c r="I54" s="119" t="s">
        <v>815</v>
      </c>
    </row>
    <row r="55" spans="1:9" x14ac:dyDescent="0.25">
      <c r="D55" s="122"/>
      <c r="E55" s="122"/>
      <c r="F55" s="122"/>
      <c r="G55" s="122"/>
      <c r="H55" s="122"/>
      <c r="I55" s="119"/>
    </row>
    <row r="57" spans="1:9" x14ac:dyDescent="0.25">
      <c r="A57" s="117" t="s">
        <v>811</v>
      </c>
      <c r="C57" s="115" t="s">
        <v>812</v>
      </c>
    </row>
    <row r="58" spans="1:9" x14ac:dyDescent="0.25">
      <c r="C58" t="s">
        <v>813</v>
      </c>
    </row>
    <row r="59" spans="1:9" x14ac:dyDescent="0.25">
      <c r="D59" s="118" t="s">
        <v>816</v>
      </c>
      <c r="I59" s="119" t="s">
        <v>814</v>
      </c>
    </row>
    <row r="60" spans="1:9" x14ac:dyDescent="0.25">
      <c r="D60" s="120" t="s">
        <v>817</v>
      </c>
      <c r="E60" s="120"/>
      <c r="F60" s="120"/>
      <c r="G60" s="120"/>
    </row>
    <row r="61" spans="1:9" x14ac:dyDescent="0.25">
      <c r="D61" s="120"/>
      <c r="E61" s="120"/>
      <c r="F61" s="120"/>
      <c r="G61" s="120"/>
    </row>
    <row r="62" spans="1:9" x14ac:dyDescent="0.25">
      <c r="D62" s="120"/>
      <c r="E62" s="120"/>
      <c r="F62" s="120"/>
      <c r="G62" s="120"/>
    </row>
    <row r="63" spans="1:9" x14ac:dyDescent="0.25">
      <c r="D63" s="118" t="s">
        <v>818</v>
      </c>
      <c r="I63" s="119" t="s">
        <v>815</v>
      </c>
    </row>
    <row r="64" spans="1:9" x14ac:dyDescent="0.25">
      <c r="D64" s="118" t="s">
        <v>805</v>
      </c>
      <c r="I64" s="119" t="s">
        <v>814</v>
      </c>
    </row>
    <row r="65" spans="1:10" x14ac:dyDescent="0.25">
      <c r="D65" s="118" t="s">
        <v>819</v>
      </c>
      <c r="I65" s="119" t="s">
        <v>815</v>
      </c>
    </row>
    <row r="67" spans="1:10" x14ac:dyDescent="0.25">
      <c r="A67" s="117" t="s">
        <v>820</v>
      </c>
      <c r="C67" s="115" t="s">
        <v>821</v>
      </c>
    </row>
    <row r="68" spans="1:10" x14ac:dyDescent="0.25">
      <c r="C68" t="s">
        <v>822</v>
      </c>
    </row>
    <row r="69" spans="1:10" x14ac:dyDescent="0.25">
      <c r="D69" s="118" t="s">
        <v>823</v>
      </c>
      <c r="I69" s="119" t="s">
        <v>814</v>
      </c>
    </row>
    <row r="70" spans="1:10" x14ac:dyDescent="0.25">
      <c r="D70" s="118" t="s">
        <v>805</v>
      </c>
      <c r="I70" s="119" t="s">
        <v>814</v>
      </c>
    </row>
    <row r="71" spans="1:10" x14ac:dyDescent="0.25">
      <c r="D71" s="118" t="s">
        <v>819</v>
      </c>
      <c r="I71" s="119" t="s">
        <v>815</v>
      </c>
    </row>
    <row r="73" spans="1:10" x14ac:dyDescent="0.25">
      <c r="A73" s="106" t="s">
        <v>830</v>
      </c>
    </row>
    <row r="74" spans="1:10" x14ac:dyDescent="0.25">
      <c r="A74" s="108" t="s">
        <v>833</v>
      </c>
      <c r="B74" s="108"/>
      <c r="C74" s="108"/>
      <c r="D74" s="108"/>
      <c r="E74" s="108"/>
      <c r="F74" s="108"/>
      <c r="G74" s="108"/>
      <c r="H74" s="108"/>
      <c r="I74" s="108"/>
      <c r="J74" s="108"/>
    </row>
    <row r="75" spans="1:10" x14ac:dyDescent="0.25">
      <c r="A75" s="108"/>
      <c r="B75" s="108"/>
      <c r="C75" s="108"/>
      <c r="D75" s="108"/>
      <c r="E75" s="108"/>
      <c r="F75" s="108"/>
      <c r="G75" s="108"/>
      <c r="H75" s="108"/>
      <c r="I75" s="108"/>
      <c r="J75" s="108"/>
    </row>
    <row r="76" spans="1:10" x14ac:dyDescent="0.25">
      <c r="A76" s="108"/>
      <c r="B76" s="108"/>
      <c r="C76" s="108"/>
      <c r="D76" s="108"/>
      <c r="E76" s="108"/>
      <c r="F76" s="108"/>
      <c r="G76" s="108"/>
      <c r="H76" s="108"/>
      <c r="I76" s="108"/>
      <c r="J76" s="108"/>
    </row>
    <row r="78" spans="1:10" x14ac:dyDescent="0.25">
      <c r="A78" s="108" t="s">
        <v>831</v>
      </c>
      <c r="B78" s="108"/>
      <c r="C78" s="108"/>
      <c r="D78" s="108"/>
      <c r="E78" s="108"/>
      <c r="F78" s="108"/>
      <c r="G78" s="108"/>
      <c r="H78" s="108"/>
      <c r="I78" s="108"/>
      <c r="J78" s="108"/>
    </row>
    <row r="79" spans="1:10" x14ac:dyDescent="0.25">
      <c r="A79" s="108"/>
      <c r="B79" s="108"/>
      <c r="C79" s="108"/>
      <c r="D79" s="108"/>
      <c r="E79" s="108"/>
      <c r="F79" s="108"/>
      <c r="G79" s="108"/>
      <c r="H79" s="108"/>
      <c r="I79" s="108"/>
      <c r="J79" s="108"/>
    </row>
    <row r="81" spans="1:10" x14ac:dyDescent="0.25">
      <c r="A81" t="s">
        <v>832</v>
      </c>
    </row>
    <row r="83" spans="1:10" x14ac:dyDescent="0.25">
      <c r="A83" s="108" t="s">
        <v>834</v>
      </c>
      <c r="B83" s="108"/>
      <c r="C83" s="108"/>
      <c r="D83" s="108"/>
      <c r="E83" s="108"/>
      <c r="F83" s="108"/>
      <c r="G83" s="108"/>
      <c r="H83" s="108"/>
      <c r="I83" s="108"/>
      <c r="J83" s="108"/>
    </row>
    <row r="84" spans="1:10" x14ac:dyDescent="0.25">
      <c r="A84" s="108"/>
      <c r="B84" s="108"/>
      <c r="C84" s="108"/>
      <c r="D84" s="108"/>
      <c r="E84" s="108"/>
      <c r="F84" s="108"/>
      <c r="G84" s="108"/>
      <c r="H84" s="108"/>
      <c r="I84" s="108"/>
      <c r="J84" s="108"/>
    </row>
  </sheetData>
  <mergeCells count="12">
    <mergeCell ref="A78:J79"/>
    <mergeCell ref="A83:J84"/>
    <mergeCell ref="D60:G62"/>
    <mergeCell ref="D52:H53"/>
    <mergeCell ref="D54:H55"/>
    <mergeCell ref="A74:J76"/>
    <mergeCell ref="B20:J23"/>
    <mergeCell ref="A26:J29"/>
    <mergeCell ref="E31:J33"/>
    <mergeCell ref="A3:J5"/>
    <mergeCell ref="B10:J13"/>
    <mergeCell ref="B15:J18"/>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10</vt:i4>
      </vt:variant>
    </vt:vector>
  </HeadingPairs>
  <TitlesOfParts>
    <vt:vector size="21" baseType="lpstr">
      <vt:lpstr>Alamaze Map</vt:lpstr>
      <vt:lpstr>Turns</vt:lpstr>
      <vt:lpstr>Map Data</vt:lpstr>
      <vt:lpstr>Manual Data</vt:lpstr>
      <vt:lpstr>Inf Data</vt:lpstr>
      <vt:lpstr>PC Data</vt:lpstr>
      <vt:lpstr>Em Data</vt:lpstr>
      <vt:lpstr>Gr Data</vt:lpstr>
      <vt:lpstr>Art Data</vt:lpstr>
      <vt:lpstr>RR Data</vt:lpstr>
      <vt:lpstr>Instructions</vt:lpstr>
      <vt:lpstr>'Alamaze Map'!Region1</vt:lpstr>
      <vt:lpstr>'Alamaze Map'!Region10</vt:lpstr>
      <vt:lpstr>'Alamaze Map'!Region2</vt:lpstr>
      <vt:lpstr>'Alamaze Map'!Region3</vt:lpstr>
      <vt:lpstr>'Alamaze Map'!Region4</vt:lpstr>
      <vt:lpstr>'Alamaze Map'!Region5</vt:lpstr>
      <vt:lpstr>'Alamaze Map'!Region6</vt:lpstr>
      <vt:lpstr>'Alamaze Map'!Region7</vt:lpstr>
      <vt:lpstr>'Alamaze Map'!Region8</vt:lpstr>
      <vt:lpstr>'Alamaze Map'!Region9</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Owner</dc:creator>
  <cp:lastModifiedBy>Owner</cp:lastModifiedBy>
  <dcterms:created xsi:type="dcterms:W3CDTF">2014-12-18T02:12:30Z</dcterms:created>
  <dcterms:modified xsi:type="dcterms:W3CDTF">2015-03-02T03:44:32Z</dcterms:modified>
</cp:coreProperties>
</file>